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Desktop\答辩\"/>
    </mc:Choice>
  </mc:AlternateContent>
  <bookViews>
    <workbookView xWindow="0" yWindow="0" windowWidth="21600" windowHeight="10900" activeTab="2"/>
  </bookViews>
  <sheets>
    <sheet name="Sheet1" sheetId="1" r:id="rId1"/>
    <sheet name="其他因素" sheetId="2" r:id="rId2"/>
    <sheet name="敏感" sheetId="3" r:id="rId3"/>
  </sheets>
  <calcPr calcId="152511"/>
  <pivotCaches>
    <pivotCache cacheId="17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<sst xmlns="http://schemas.openxmlformats.org/spreadsheetml/2006/main" count="294" uniqueCount="33">
  <si>
    <t>participant</t>
  </si>
  <si>
    <t>age</t>
  </si>
  <si>
    <t>gender(1为男性，2为女性)</t>
  </si>
  <si>
    <t>recent fall（2无跌倒，2一次跌倒无受伤</t>
  </si>
  <si>
    <t>sus</t>
  </si>
  <si>
    <t>sus(3)</t>
  </si>
  <si>
    <t>sus(2)</t>
  </si>
  <si>
    <t>cue1</t>
  </si>
  <si>
    <t>cue2</t>
  </si>
  <si>
    <t>cue3</t>
  </si>
  <si>
    <t>cue4</t>
  </si>
  <si>
    <t>level4</t>
  </si>
  <si>
    <t>level3</t>
  </si>
  <si>
    <t>level2</t>
  </si>
  <si>
    <t>level1</t>
  </si>
  <si>
    <t>gender(0为男性，1为女性)</t>
  </si>
  <si>
    <t>recent fall（0无跌倒，1一次跌倒无受伤，2两次跌倒及以上，4一次或多次跌倒，受伤）</t>
  </si>
  <si>
    <t>感知敏感性等级</t>
    <phoneticPr fontId="1" type="noConversion"/>
  </si>
  <si>
    <t>cue(AA B2 C3 D4)</t>
  </si>
  <si>
    <t>High Level</t>
  </si>
  <si>
    <t>Cute-K</t>
  </si>
  <si>
    <t>Cute-W</t>
  </si>
  <si>
    <t>Apo</t>
  </si>
  <si>
    <t>Non-cue</t>
  </si>
  <si>
    <t>Low Level</t>
  </si>
  <si>
    <t>N300</t>
    <phoneticPr fontId="1" type="noConversion"/>
  </si>
  <si>
    <t>平均值项:N300</t>
  </si>
  <si>
    <t>行标签</t>
  </si>
  <si>
    <t>总计</t>
  </si>
  <si>
    <t>列标签</t>
  </si>
  <si>
    <t>标准偏差项:N300</t>
  </si>
  <si>
    <t>标准偏差项:N300汇总</t>
  </si>
  <si>
    <t>平均值项:N300汇总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</si>
</sst>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1" formatCode="0.000"/>
  </numFmts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181" fontId="0" fillId="0" borderId="0" xfId="0" pivotButton="1" applyNumberFormat="1">
      <alignment vertical="center"/>
    </xf>
    <xf numFmtId="181" fontId="0" fillId="0" borderId="0" xfId="0" applyNumberFormat="1">
      <alignment vertical="center"/>
    </xf>
    <xf numFmtId="181" fontId="0" fillId="0" borderId="0" xfId="0" applyNumberFormat="1" applyAlignment="1">
      <alignment horizontal="left" vertical="center"/>
    </xf>
    <xf numFmtId="2" fontId="0" fillId="0" borderId="0" xfId="0" pivotButton="1" applyNumberFormat="1">
      <alignment vertical="center"/>
    </xf>
    <xf numFmtId="2" fontId="0" fillId="0" borderId="0" xfId="0" applyNumberFormat="1">
      <alignment vertical="center"/>
    </xf>
    <xf numFmtId="2" fontId="0" fillId="0" borderId="0" xfId="0" applyNumberFormat="1" applyAlignment="1">
      <alignment horizontal="left" vertical="center"/>
    </xf>
  </cellXfs>
  <cellStyles count="1">
    <cellStyle name="常规" xfId="0" builtinId="0"/>
  </cellStyles>
  <dxfs count="138">
    <dxf>
      <numFmt numFmtId="181" formatCode="0.000"/>
    </dxf>
    <dxf>
      <numFmt numFmtId="181" formatCode="0.000"/>
    </dxf>
    <dxf>
      <numFmt numFmtId="181" formatCode="0.000"/>
    </dxf>
    <dxf>
      <numFmt numFmtId="181" formatCode="0.000"/>
    </dxf>
    <dxf>
      <numFmt numFmtId="181" formatCode="0.000"/>
    </dxf>
    <dxf>
      <numFmt numFmtId="181" formatCode="0.000"/>
    </dxf>
    <dxf>
      <numFmt numFmtId="181" formatCode="0.000"/>
    </dxf>
    <dxf>
      <numFmt numFmtId="181" formatCode="0.000"/>
    </dxf>
    <dxf>
      <numFmt numFmtId="181" formatCode="0.000"/>
    </dxf>
    <dxf>
      <numFmt numFmtId="181" formatCode="0.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81" formatCode="0.000"/>
    </dxf>
    <dxf>
      <numFmt numFmtId="2" formatCode="0.00"/>
    </dxf>
    <dxf>
      <numFmt numFmtId="2" formatCode="0.00"/>
    </dxf>
    <dxf>
      <numFmt numFmtId="181" formatCode="0.000"/>
    </dxf>
    <dxf>
      <numFmt numFmtId="181" formatCode="0.000"/>
    </dxf>
    <dxf>
      <numFmt numFmtId="181" formatCode="0.000"/>
    </dxf>
    <dxf>
      <numFmt numFmtId="181" formatCode="0.000"/>
    </dxf>
    <dxf>
      <numFmt numFmtId="181" formatCode="0.000"/>
    </dxf>
    <dxf>
      <numFmt numFmtId="181" formatCode="0.000"/>
    </dxf>
    <dxf>
      <numFmt numFmtId="181" formatCode="0.000"/>
    </dxf>
    <dxf>
      <numFmt numFmtId="181" formatCode="0.000"/>
    </dxf>
    <dxf>
      <numFmt numFmtId="181" formatCode="0.000"/>
    </dxf>
    <dxf>
      <numFmt numFmtId="181" formatCode="0.000"/>
    </dxf>
    <dxf>
      <numFmt numFmtId="181" formatCode="0.000"/>
    </dxf>
    <dxf>
      <numFmt numFmtId="180" formatCode="0.0000"/>
    </dxf>
    <dxf>
      <numFmt numFmtId="180" formatCode="0.0000"/>
    </dxf>
    <dxf>
      <numFmt numFmtId="180" formatCode="0.0000"/>
    </dxf>
    <dxf>
      <numFmt numFmtId="180" formatCode="0.0000"/>
    </dxf>
    <dxf>
      <numFmt numFmtId="180" formatCode="0.0000"/>
    </dxf>
    <dxf>
      <numFmt numFmtId="180" formatCode="0.0000"/>
    </dxf>
    <dxf>
      <numFmt numFmtId="180" formatCode="0.0000"/>
    </dxf>
    <dxf>
      <numFmt numFmtId="180" formatCode="0.0000"/>
    </dxf>
    <dxf>
      <numFmt numFmtId="180" formatCode="0.0000"/>
    </dxf>
    <dxf>
      <numFmt numFmtId="180" formatCode="0.0000"/>
    </dxf>
    <dxf>
      <numFmt numFmtId="180" formatCode="0.0000"/>
    </dxf>
    <dxf>
      <numFmt numFmtId="179" formatCode="0.00000"/>
    </dxf>
    <dxf>
      <numFmt numFmtId="179" formatCode="0.00000"/>
    </dxf>
    <dxf>
      <numFmt numFmtId="179" formatCode="0.00000"/>
    </dxf>
    <dxf>
      <numFmt numFmtId="179" formatCode="0.00000"/>
    </dxf>
    <dxf>
      <numFmt numFmtId="179" formatCode="0.00000"/>
    </dxf>
    <dxf>
      <numFmt numFmtId="179" formatCode="0.00000"/>
    </dxf>
    <dxf>
      <numFmt numFmtId="179" formatCode="0.00000"/>
    </dxf>
    <dxf>
      <numFmt numFmtId="179" formatCode="0.00000"/>
    </dxf>
    <dxf>
      <numFmt numFmtId="179" formatCode="0.00000"/>
    </dxf>
    <dxf>
      <numFmt numFmtId="179" formatCode="0.00000"/>
    </dxf>
    <dxf>
      <numFmt numFmtId="179" formatCode="0.00000"/>
    </dxf>
    <dxf>
      <numFmt numFmtId="178" formatCode="0.000000"/>
    </dxf>
    <dxf>
      <numFmt numFmtId="178" formatCode="0.000000"/>
    </dxf>
    <dxf>
      <numFmt numFmtId="178" formatCode="0.000000"/>
    </dxf>
    <dxf>
      <numFmt numFmtId="178" formatCode="0.000000"/>
    </dxf>
    <dxf>
      <numFmt numFmtId="178" formatCode="0.000000"/>
    </dxf>
    <dxf>
      <numFmt numFmtId="178" formatCode="0.000000"/>
    </dxf>
    <dxf>
      <numFmt numFmtId="178" formatCode="0.000000"/>
    </dxf>
    <dxf>
      <numFmt numFmtId="178" formatCode="0.000000"/>
    </dxf>
    <dxf>
      <numFmt numFmtId="178" formatCode="0.000000"/>
    </dxf>
    <dxf>
      <numFmt numFmtId="178" formatCode="0.000000"/>
    </dxf>
    <dxf>
      <numFmt numFmtId="178" formatCode="0.000000"/>
    </dxf>
    <dxf>
      <numFmt numFmtId="177" formatCode="0.0000000"/>
    </dxf>
    <dxf>
      <numFmt numFmtId="177" formatCode="0.0000000"/>
    </dxf>
    <dxf>
      <numFmt numFmtId="177" formatCode="0.0000000"/>
    </dxf>
    <dxf>
      <numFmt numFmtId="177" formatCode="0.0000000"/>
    </dxf>
    <dxf>
      <numFmt numFmtId="177" formatCode="0.0000000"/>
    </dxf>
    <dxf>
      <numFmt numFmtId="177" formatCode="0.0000000"/>
    </dxf>
    <dxf>
      <numFmt numFmtId="177" formatCode="0.0000000"/>
    </dxf>
    <dxf>
      <numFmt numFmtId="177" formatCode="0.0000000"/>
    </dxf>
    <dxf>
      <numFmt numFmtId="177" formatCode="0.0000000"/>
    </dxf>
    <dxf>
      <numFmt numFmtId="177" formatCode="0.0000000"/>
    </dxf>
    <dxf>
      <numFmt numFmtId="177" formatCode="0.0000000"/>
    </dxf>
    <dxf>
      <numFmt numFmtId="176" formatCode="0.00000000"/>
    </dxf>
    <dxf>
      <numFmt numFmtId="176" formatCode="0.00000000"/>
    </dxf>
    <dxf>
      <numFmt numFmtId="176" formatCode="0.00000000"/>
    </dxf>
    <dxf>
      <numFmt numFmtId="176" formatCode="0.00000000"/>
    </dxf>
    <dxf>
      <numFmt numFmtId="176" formatCode="0.00000000"/>
    </dxf>
    <dxf>
      <numFmt numFmtId="176" formatCode="0.00000000"/>
    </dxf>
    <dxf>
      <numFmt numFmtId="176" formatCode="0.00000000"/>
    </dxf>
    <dxf>
      <numFmt numFmtId="176" formatCode="0.00000000"/>
    </dxf>
    <dxf>
      <numFmt numFmtId="176" formatCode="0.00000000"/>
    </dxf>
    <dxf>
      <numFmt numFmtId="176" formatCode="0.00000000"/>
    </dxf>
    <dxf>
      <numFmt numFmtId="176" formatCode="0.00000000"/>
    </dxf>
    <dxf>
      <numFmt numFmtId="182" formatCode="0.000000000"/>
    </dxf>
    <dxf>
      <numFmt numFmtId="182" formatCode="0.000000000"/>
    </dxf>
    <dxf>
      <numFmt numFmtId="182" formatCode="0.000000000"/>
    </dxf>
    <dxf>
      <numFmt numFmtId="182" formatCode="0.000000000"/>
    </dxf>
    <dxf>
      <numFmt numFmtId="182" formatCode="0.000000000"/>
    </dxf>
    <dxf>
      <numFmt numFmtId="182" formatCode="0.000000000"/>
    </dxf>
    <dxf>
      <numFmt numFmtId="182" formatCode="0.000000000"/>
    </dxf>
    <dxf>
      <numFmt numFmtId="182" formatCode="0.000000000"/>
    </dxf>
    <dxf>
      <numFmt numFmtId="182" formatCode="0.000000000"/>
    </dxf>
    <dxf>
      <numFmt numFmtId="182" formatCode="0.000000000"/>
    </dxf>
    <dxf>
      <numFmt numFmtId="182" formatCode="0.000000000"/>
    </dxf>
    <dxf>
      <numFmt numFmtId="183" formatCode="0.0000000000"/>
    </dxf>
    <dxf>
      <numFmt numFmtId="183" formatCode="0.0000000000"/>
    </dxf>
    <dxf>
      <numFmt numFmtId="183" formatCode="0.0000000000"/>
    </dxf>
    <dxf>
      <numFmt numFmtId="183" formatCode="0.0000000000"/>
    </dxf>
    <dxf>
      <numFmt numFmtId="183" formatCode="0.0000000000"/>
    </dxf>
    <dxf>
      <numFmt numFmtId="183" formatCode="0.0000000000"/>
    </dxf>
    <dxf>
      <numFmt numFmtId="183" formatCode="0.0000000000"/>
    </dxf>
    <dxf>
      <numFmt numFmtId="183" formatCode="0.0000000000"/>
    </dxf>
    <dxf>
      <numFmt numFmtId="183" formatCode="0.0000000000"/>
    </dxf>
    <dxf>
      <numFmt numFmtId="183" formatCode="0.0000000000"/>
    </dxf>
    <dxf>
      <numFmt numFmtId="183" formatCode="0.0000000000"/>
    </dxf>
    <dxf>
      <numFmt numFmtId="182" formatCode="0.000000000"/>
    </dxf>
    <dxf>
      <numFmt numFmtId="182" formatCode="0.000000000"/>
    </dxf>
    <dxf>
      <numFmt numFmtId="182" formatCode="0.000000000"/>
    </dxf>
    <dxf>
      <numFmt numFmtId="182" formatCode="0.000000000"/>
    </dxf>
    <dxf>
      <numFmt numFmtId="182" formatCode="0.000000000"/>
    </dxf>
    <dxf>
      <numFmt numFmtId="182" formatCode="0.000000000"/>
    </dxf>
    <dxf>
      <numFmt numFmtId="182" formatCode="0.000000000"/>
    </dxf>
    <dxf>
      <numFmt numFmtId="182" formatCode="0.000000000"/>
    </dxf>
    <dxf>
      <numFmt numFmtId="182" formatCode="0.000000000"/>
    </dxf>
    <dxf>
      <numFmt numFmtId="182" formatCode="0.000000000"/>
    </dxf>
    <dxf>
      <numFmt numFmtId="182" formatCode="0.000000000"/>
    </dxf>
    <dxf>
      <numFmt numFmtId="176" formatCode="0.00000000"/>
    </dxf>
    <dxf>
      <numFmt numFmtId="176" formatCode="0.00000000"/>
    </dxf>
    <dxf>
      <numFmt numFmtId="176" formatCode="0.00000000"/>
    </dxf>
    <dxf>
      <numFmt numFmtId="176" formatCode="0.00000000"/>
    </dxf>
    <dxf>
      <numFmt numFmtId="176" formatCode="0.00000000"/>
    </dxf>
    <dxf>
      <numFmt numFmtId="176" formatCode="0.00000000"/>
    </dxf>
    <dxf>
      <numFmt numFmtId="176" formatCode="0.00000000"/>
    </dxf>
    <dxf>
      <numFmt numFmtId="176" formatCode="0.00000000"/>
    </dxf>
    <dxf>
      <numFmt numFmtId="176" formatCode="0.00000000"/>
    </dxf>
    <dxf>
      <numFmt numFmtId="176" formatCode="0.00000000"/>
    </dxf>
    <dxf>
      <numFmt numFmtId="176" formatCode="0.00000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[第一阶段-客观数据.xlsx]敏感!数据透视表1</c:name>
    <c:fmtId val="0"/>
  </c:pivotSource>
  <c:chart>
    <c:autoTitleDeleted val="0"/>
    <c:pivotFmts>
      <c:pivotFmt>
        <c:idx val="0"/>
      </c:pivotFmt>
      <c:pivotFmt>
        <c:idx val="1"/>
        <c:dLbl>
          <c:idx val="0"/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</c:pivotFmt>
      <c:pivotFmt>
        <c:idx val="5"/>
      </c:pivotFmt>
      <c:pivotFmt>
        <c:idx val="6"/>
        <c:dLbl>
          <c:idx val="0"/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</c:pivotFmt>
      <c:pivotFmt>
        <c:idx val="8"/>
        <c:dLbl>
          <c:idx val="0"/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 cmpd="sng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bg1"/>
            </a:solidFill>
            <a:ln w="9525">
              <a:solidFill>
                <a:schemeClr val="tx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sq">
            <a:solidFill>
              <a:schemeClr val="tx1"/>
            </a:solidFill>
            <a:prstDash val="sysDot"/>
            <a:round/>
          </a:ln>
          <a:effectLst/>
        </c:spPr>
        <c:marker>
          <c:symbol val="circle"/>
          <c:size val="5"/>
          <c:spPr>
            <a:solidFill>
              <a:schemeClr val="bg1"/>
            </a:solidFill>
            <a:ln w="9525">
              <a:solidFill>
                <a:schemeClr val="tx1"/>
              </a:solidFill>
              <a:prstDash val="sysDot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2700" cap="rnd" cmpd="sng">
            <a:solidFill>
              <a:sysClr val="windowText" lastClr="000000"/>
            </a:solidFill>
            <a:round/>
          </a:ln>
          <a:effectLst/>
        </c:spPr>
        <c:marker>
          <c:symbol val="circle"/>
          <c:size val="5"/>
          <c:spPr>
            <a:solidFill>
              <a:schemeClr val="bg1"/>
            </a:solidFill>
            <a:ln w="12700">
              <a:solidFill>
                <a:sysClr val="windowText" lastClr="00000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l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2700" cap="sq">
            <a:solidFill>
              <a:sysClr val="windowText" lastClr="000000"/>
            </a:solidFill>
            <a:prstDash val="sysDot"/>
            <a:round/>
          </a:ln>
          <a:effectLst/>
        </c:spPr>
        <c:marker>
          <c:symbol val="circle"/>
          <c:size val="5"/>
          <c:spPr>
            <a:solidFill>
              <a:schemeClr val="bg1"/>
            </a:solidFill>
            <a:ln w="12700">
              <a:solidFill>
                <a:sysClr val="windowText" lastClr="000000"/>
              </a:solidFill>
              <a:prstDash val="sysDot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l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2700" cap="sq">
            <a:solidFill>
              <a:sysClr val="windowText" lastClr="000000"/>
            </a:solidFill>
            <a:prstDash val="sysDot"/>
            <a:round/>
          </a:ln>
          <a:effectLst/>
        </c:spPr>
        <c:marker>
          <c:symbol val="circle"/>
          <c:size val="5"/>
          <c:spPr>
            <a:solidFill>
              <a:schemeClr val="bg1"/>
            </a:solidFill>
            <a:ln w="12700">
              <a:solidFill>
                <a:sysClr val="windowText" lastClr="000000"/>
              </a:solidFill>
              <a:prstDash val="sysDot"/>
            </a:ln>
            <a:effectLst/>
          </c:spPr>
        </c:marker>
      </c:pivotFmt>
      <c:pivotFmt>
        <c:idx val="14"/>
        <c:spPr>
          <a:ln w="12700" cap="rnd" cmpd="sng">
            <a:solidFill>
              <a:sysClr val="windowText" lastClr="000000"/>
            </a:solidFill>
            <a:round/>
          </a:ln>
          <a:effectLst/>
        </c:spPr>
        <c:marker>
          <c:symbol val="circle"/>
          <c:size val="5"/>
          <c:spPr>
            <a:solidFill>
              <a:schemeClr val="bg1"/>
            </a:solidFill>
            <a:ln w="12700">
              <a:solidFill>
                <a:sysClr val="windowText" lastClr="000000"/>
              </a:solidFill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5"/>
        <c:spPr>
          <a:ln w="12700" cap="sq">
            <a:solidFill>
              <a:sysClr val="windowText" lastClr="000000"/>
            </a:solidFill>
            <a:prstDash val="sysDot"/>
            <a:round/>
          </a:ln>
          <a:effectLst/>
        </c:spPr>
        <c:marker>
          <c:symbol val="circle"/>
          <c:size val="5"/>
          <c:spPr>
            <a:solidFill>
              <a:schemeClr val="bg1"/>
            </a:solidFill>
            <a:ln w="12700">
              <a:solidFill>
                <a:sysClr val="windowText" lastClr="000000"/>
              </a:solidFill>
              <a:prstDash val="sysDot"/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3560272650920352"/>
          <c:y val="0.12723748728157153"/>
          <c:w val="0.62117735393674001"/>
          <c:h val="0.69396578994236158"/>
        </c:manualLayout>
      </c:layout>
      <c:lineChart>
        <c:grouping val="standard"/>
        <c:varyColors val="0"/>
        <c:ser>
          <c:idx val="0"/>
          <c:order val="0"/>
          <c:tx>
            <c:strRef>
              <c:f>敏感!$B$1:$B$2</c:f>
              <c:strCache>
                <c:ptCount val="1"/>
                <c:pt idx="0">
                  <c:v>High Level</c:v>
                </c:pt>
              </c:strCache>
            </c:strRef>
          </c:tx>
          <c:spPr>
            <a:ln w="12700" cap="rnd" cmpd="sng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2700">
                <a:solidFill>
                  <a:sysClr val="windowText" lastClr="00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敏感!$A$3:$A$7</c:f>
              <c:strCache>
                <c:ptCount val="4"/>
                <c:pt idx="0">
                  <c:v>Apo</c:v>
                </c:pt>
                <c:pt idx="1">
                  <c:v>Cute-K</c:v>
                </c:pt>
                <c:pt idx="2">
                  <c:v>Cute-W</c:v>
                </c:pt>
                <c:pt idx="3">
                  <c:v>Non-cue</c:v>
                </c:pt>
              </c:strCache>
            </c:strRef>
          </c:cat>
          <c:val>
            <c:numRef>
              <c:f>敏感!$B$3:$B$7</c:f>
              <c:numCache>
                <c:formatCode>0.00</c:formatCode>
                <c:ptCount val="4"/>
                <c:pt idx="0">
                  <c:v>-1.8101738902646254</c:v>
                </c:pt>
                <c:pt idx="1">
                  <c:v>0.89335879626182391</c:v>
                </c:pt>
                <c:pt idx="2">
                  <c:v>0.15708422442802633</c:v>
                </c:pt>
                <c:pt idx="3">
                  <c:v>0.29830024778269798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敏感!$C$1:$C$2</c:f>
              <c:strCache>
                <c:ptCount val="1"/>
                <c:pt idx="0">
                  <c:v>Low Level</c:v>
                </c:pt>
              </c:strCache>
            </c:strRef>
          </c:tx>
          <c:spPr>
            <a:ln w="12700" cap="sq">
              <a:solidFill>
                <a:sysClr val="windowText" lastClr="000000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2700">
                <a:solidFill>
                  <a:sysClr val="windowText" lastClr="000000"/>
                </a:solidFill>
                <a:prstDash val="sysDot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敏感!$A$3:$A$7</c:f>
              <c:strCache>
                <c:ptCount val="4"/>
                <c:pt idx="0">
                  <c:v>Apo</c:v>
                </c:pt>
                <c:pt idx="1">
                  <c:v>Cute-K</c:v>
                </c:pt>
                <c:pt idx="2">
                  <c:v>Cute-W</c:v>
                </c:pt>
                <c:pt idx="3">
                  <c:v>Non-cue</c:v>
                </c:pt>
              </c:strCache>
            </c:strRef>
          </c:cat>
          <c:val>
            <c:numRef>
              <c:f>敏感!$C$3:$C$7</c:f>
              <c:numCache>
                <c:formatCode>0.00</c:formatCode>
                <c:ptCount val="4"/>
                <c:pt idx="0">
                  <c:v>0.91661618210566331</c:v>
                </c:pt>
                <c:pt idx="1">
                  <c:v>1.3106784240271034</c:v>
                </c:pt>
                <c:pt idx="2">
                  <c:v>1.7535507381439974</c:v>
                </c:pt>
                <c:pt idx="3">
                  <c:v>0.1968036614145891</c:v>
                </c:pt>
              </c:numCache>
            </c:numRef>
          </c:val>
          <c:smooth val="0"/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-685563408"/>
        <c:axId val="-685568304"/>
      </c:lineChart>
      <c:catAx>
        <c:axId val="-685563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警示标识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685568304"/>
        <c:crosses val="autoZero"/>
        <c:auto val="1"/>
        <c:lblAlgn val="ctr"/>
        <c:lblOffset val="100"/>
        <c:noMultiLvlLbl val="0"/>
      </c:catAx>
      <c:valAx>
        <c:axId val="-685568304"/>
        <c:scaling>
          <c:orientation val="minMax"/>
          <c:max val="3"/>
          <c:min val="-3"/>
        </c:scaling>
        <c:delete val="0"/>
        <c:axPos val="l"/>
        <c:majorGridlines>
          <c:spPr>
            <a:ln w="38100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eaVert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N300</a:t>
                </a:r>
                <a:r>
                  <a:rPr lang="zh-CN" altLang="en-US"/>
                  <a:t>平均</a:t>
                </a:r>
                <a:r>
                  <a:rPr lang="zh-CN" altLang="zh-CN" sz="700" b="0" i="0" u="none" strike="noStrike" baseline="0">
                    <a:effectLst/>
                  </a:rPr>
                  <a:t>振幅</a:t>
                </a:r>
                <a:r>
                  <a:rPr lang="zh-CN" altLang="en-US" sz="700" b="0" i="0" u="none" strike="noStrike" baseline="0">
                    <a:effectLst/>
                  </a:rPr>
                  <a:t>（</a:t>
                </a:r>
                <a:r>
                  <a:rPr lang="en-US" altLang="zh-CN" sz="700" b="0" i="0" u="none" strike="noStrike" baseline="0">
                    <a:effectLst/>
                  </a:rPr>
                  <a:t>uV</a:t>
                </a:r>
                <a:r>
                  <a:rPr lang="zh-CN" altLang="en-US" sz="700" b="0" i="0" u="none" strike="noStrike" baseline="0">
                    <a:effectLst/>
                  </a:rPr>
                  <a:t>）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eaVert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685563408"/>
        <c:crosses val="autoZero"/>
        <c:crossBetween val="between"/>
      </c:valAx>
      <c:spPr>
        <a:solidFill>
          <a:schemeClr val="bg1">
            <a:lumMod val="95000"/>
          </a:schemeClr>
        </a:solidFill>
        <a:ln w="28575">
          <a:noFill/>
        </a:ln>
        <a:effectLst/>
      </c:spPr>
    </c:plotArea>
    <c:legend>
      <c:legendPos val="r"/>
      <c:layout>
        <c:manualLayout>
          <c:xMode val="edge"/>
          <c:yMode val="edge"/>
          <c:x val="0.73510836681751346"/>
          <c:y val="0.12568729593895595"/>
          <c:w val="0.20108194280261973"/>
          <c:h val="0.149102392295216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700"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[第一阶段-客观数据.xlsx]敏感!数据透视表4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敏感!$H$10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敏感!$G$11:$G$15</c:f>
              <c:strCache>
                <c:ptCount val="4"/>
                <c:pt idx="0">
                  <c:v>Apo</c:v>
                </c:pt>
                <c:pt idx="1">
                  <c:v>Cute-K</c:v>
                </c:pt>
                <c:pt idx="2">
                  <c:v>Cute-W</c:v>
                </c:pt>
                <c:pt idx="3">
                  <c:v>Non-cue</c:v>
                </c:pt>
              </c:strCache>
            </c:strRef>
          </c:cat>
          <c:val>
            <c:numRef>
              <c:f>敏感!$H$11:$H$15</c:f>
              <c:numCache>
                <c:formatCode>General</c:formatCode>
                <c:ptCount val="4"/>
                <c:pt idx="0">
                  <c:v>-0.44677885407948065</c:v>
                </c:pt>
                <c:pt idx="1">
                  <c:v>1.1020186101444638</c:v>
                </c:pt>
                <c:pt idx="2">
                  <c:v>0.95531748128601179</c:v>
                </c:pt>
                <c:pt idx="3">
                  <c:v>0.2475519545986436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546037680"/>
        <c:axId val="-546036592"/>
      </c:barChart>
      <c:catAx>
        <c:axId val="-546037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546036592"/>
        <c:crosses val="autoZero"/>
        <c:auto val="1"/>
        <c:lblAlgn val="ctr"/>
        <c:lblOffset val="100"/>
        <c:noMultiLvlLbl val="0"/>
      </c:catAx>
      <c:valAx>
        <c:axId val="-54603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546037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[第一阶段-客观数据.xlsx]敏感!数据透视表5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敏感!$G$31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敏感!$F$32:$F$34</c:f>
              <c:strCache>
                <c:ptCount val="2"/>
                <c:pt idx="0">
                  <c:v>High Level</c:v>
                </c:pt>
                <c:pt idx="1">
                  <c:v>Low Level</c:v>
                </c:pt>
              </c:strCache>
            </c:strRef>
          </c:cat>
          <c:val>
            <c:numRef>
              <c:f>敏感!$G$32:$G$34</c:f>
              <c:numCache>
                <c:formatCode>General</c:formatCode>
                <c:ptCount val="2"/>
                <c:pt idx="0">
                  <c:v>-0.11535765544801911</c:v>
                </c:pt>
                <c:pt idx="1">
                  <c:v>1.0444122514228389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531600560"/>
        <c:axId val="-531601104"/>
      </c:barChart>
      <c:catAx>
        <c:axId val="-531600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531601104"/>
        <c:crosses val="autoZero"/>
        <c:auto val="1"/>
        <c:lblAlgn val="ctr"/>
        <c:lblOffset val="100"/>
        <c:noMultiLvlLbl val="0"/>
      </c:catAx>
      <c:valAx>
        <c:axId val="-53160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531600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[第一阶段-客观数据.xlsx]敏感!数据透视表6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敏感!$B$51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敏感!$A$52:$A$54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敏感!$B$52:$B$54</c:f>
              <c:numCache>
                <c:formatCode>General</c:formatCode>
                <c:ptCount val="2"/>
                <c:pt idx="0">
                  <c:v>1.6593871059468772</c:v>
                </c:pt>
                <c:pt idx="1">
                  <c:v>-0.16804554152054393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545835088"/>
        <c:axId val="-545835632"/>
      </c:barChart>
      <c:catAx>
        <c:axId val="-545835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545835632"/>
        <c:crosses val="autoZero"/>
        <c:auto val="1"/>
        <c:lblAlgn val="ctr"/>
        <c:lblOffset val="100"/>
        <c:noMultiLvlLbl val="0"/>
      </c:catAx>
      <c:valAx>
        <c:axId val="-54583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545835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44467</xdr:rowOff>
    </xdr:from>
    <xdr:to>
      <xdr:col>6</xdr:col>
      <xdr:colOff>83229</xdr:colOff>
      <xdr:row>35</xdr:row>
      <xdr:rowOff>65471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285749</xdr:colOff>
      <xdr:row>29</xdr:row>
      <xdr:rowOff>139700</xdr:rowOff>
    </xdr:from>
    <xdr:to>
      <xdr:col>4</xdr:col>
      <xdr:colOff>190500</xdr:colOff>
      <xdr:row>48</xdr:row>
      <xdr:rowOff>31750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225425</xdr:colOff>
      <xdr:row>29</xdr:row>
      <xdr:rowOff>152400</xdr:rowOff>
    </xdr:from>
    <xdr:to>
      <xdr:col>9</xdr:col>
      <xdr:colOff>568325</xdr:colOff>
      <xdr:row>48</xdr:row>
      <xdr:rowOff>6350</xdr:rowOff>
    </xdr:to>
    <xdr:graphicFrame macro="">
      <xdr:nvGraphicFramePr>
        <xdr:cNvPr id="5" name="图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174625</xdr:colOff>
      <xdr:row>49</xdr:row>
      <xdr:rowOff>12700</xdr:rowOff>
    </xdr:from>
    <xdr:to>
      <xdr:col>5</xdr:col>
      <xdr:colOff>473075</xdr:colOff>
      <xdr:row>64</xdr:row>
      <xdr:rowOff>88900</xdr:rowOff>
    </xdr:to>
    <xdr:graphicFrame macro="">
      <xdr:nvGraphicFramePr>
        <xdr:cNvPr id="6" name="图表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l" refreshedDate="44631.003987037038" createdVersion="5" refreshedVersion="5" minRefreshableVersion="3" recordCount="104">
  <cacheSource type="worksheet">
    <worksheetSource ref="A1:H105" sheet="其他因素"/>
  </cacheSource>
  <cacheFields count="8">
    <cacheField name="participant" numFmtId="0">
      <sharedItems containsSemiMixedTypes="0" containsString="0" containsNumber="1" containsInteger="1" minValue="1" maxValue="27"/>
    </cacheField>
    <cacheField name="age" numFmtId="0">
      <sharedItems containsSemiMixedTypes="0" containsString="0" containsNumber="1" containsInteger="1" minValue="56" maxValue="79"/>
    </cacheField>
    <cacheField name="gender(0为男性，1为女性)" numFmtId="0">
      <sharedItems containsSemiMixedTypes="0" containsString="0" containsNumber="1" containsInteger="1" minValue="0" maxValue="1" count="2">
        <n v="1"/>
        <n v="0"/>
      </sharedItems>
    </cacheField>
    <cacheField name="recent fall（0无跌倒，1一次跌倒无受伤，2两次跌倒及以上，4一次或多次跌倒，受伤）" numFmtId="0">
      <sharedItems containsSemiMixedTypes="0" containsString="0" containsNumber="1" containsInteger="1" minValue="0" maxValue="1"/>
    </cacheField>
    <cacheField name="感知敏感性等级" numFmtId="0">
      <sharedItems count="2">
        <s v="High Level"/>
        <s v="Low Level"/>
      </sharedItems>
    </cacheField>
    <cacheField name="cue(AA B2 C3 D4)" numFmtId="0">
      <sharedItems count="4">
        <s v="Cute-K"/>
        <s v="Cute-W"/>
        <s v="Apo"/>
        <s v="Non-cue"/>
      </sharedItems>
    </cacheField>
    <cacheField name="N300" numFmtId="0">
      <sharedItems containsSemiMixedTypes="0" containsString="0" containsNumber="1" minValue="-7.7550695737202959" maxValue="8.9959006309509277"/>
    </cacheField>
    <cacheField name="感知敏感性等级2" numFmtId="0">
      <sharedItems containsSemiMixedTypes="0" containsString="0" containsNumber="1" containsInteger="1" minValue="1" maxValue="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4">
  <r>
    <n v="1"/>
    <n v="68"/>
    <x v="0"/>
    <n v="0"/>
    <x v="0"/>
    <x v="0"/>
    <n v="-0.8022052372495333"/>
    <n v="2"/>
  </r>
  <r>
    <n v="1"/>
    <n v="68"/>
    <x v="0"/>
    <n v="0"/>
    <x v="0"/>
    <x v="1"/>
    <n v="-4.1484146758448333"/>
    <n v="2"/>
  </r>
  <r>
    <n v="1"/>
    <n v="68"/>
    <x v="0"/>
    <n v="0"/>
    <x v="0"/>
    <x v="2"/>
    <n v="-7.7550695737202959"/>
    <n v="2"/>
  </r>
  <r>
    <n v="1"/>
    <n v="68"/>
    <x v="0"/>
    <n v="0"/>
    <x v="0"/>
    <x v="3"/>
    <n v="-1.2545630633831024"/>
    <n v="2"/>
  </r>
  <r>
    <n v="3"/>
    <n v="65"/>
    <x v="0"/>
    <n v="0"/>
    <x v="0"/>
    <x v="0"/>
    <n v="-2.07015167673429"/>
    <n v="2"/>
  </r>
  <r>
    <n v="3"/>
    <n v="65"/>
    <x v="0"/>
    <n v="0"/>
    <x v="0"/>
    <x v="1"/>
    <n v="-3.9393616076838227"/>
    <n v="2"/>
  </r>
  <r>
    <n v="3"/>
    <n v="65"/>
    <x v="0"/>
    <n v="0"/>
    <x v="0"/>
    <x v="2"/>
    <n v="-7.3758445088234224"/>
    <n v="2"/>
  </r>
  <r>
    <n v="3"/>
    <n v="65"/>
    <x v="0"/>
    <n v="0"/>
    <x v="0"/>
    <x v="3"/>
    <n v="0.3910425106684367"/>
    <n v="2"/>
  </r>
  <r>
    <n v="4"/>
    <n v="66"/>
    <x v="1"/>
    <n v="0"/>
    <x v="0"/>
    <x v="0"/>
    <n v="-2.4053960939248404"/>
    <n v="2"/>
  </r>
  <r>
    <n v="4"/>
    <n v="66"/>
    <x v="1"/>
    <n v="0"/>
    <x v="0"/>
    <x v="1"/>
    <n v="1.4303397011756898"/>
    <n v="2"/>
  </r>
  <r>
    <n v="4"/>
    <n v="66"/>
    <x v="1"/>
    <n v="0"/>
    <x v="0"/>
    <x v="2"/>
    <n v="-3.9309257666269937"/>
    <n v="2"/>
  </r>
  <r>
    <n v="4"/>
    <n v="66"/>
    <x v="1"/>
    <n v="0"/>
    <x v="0"/>
    <x v="3"/>
    <n v="1.4893154899279277"/>
    <n v="2"/>
  </r>
  <r>
    <n v="5"/>
    <n v="66"/>
    <x v="0"/>
    <n v="1"/>
    <x v="0"/>
    <x v="0"/>
    <n v="-1.9980713650584221"/>
    <n v="2"/>
  </r>
  <r>
    <n v="5"/>
    <n v="66"/>
    <x v="0"/>
    <n v="1"/>
    <x v="0"/>
    <x v="1"/>
    <n v="5.7963300496339798E-3"/>
    <n v="2"/>
  </r>
  <r>
    <n v="5"/>
    <n v="66"/>
    <x v="0"/>
    <n v="1"/>
    <x v="0"/>
    <x v="2"/>
    <n v="-1.155624936024348"/>
    <n v="2"/>
  </r>
  <r>
    <n v="5"/>
    <n v="66"/>
    <x v="0"/>
    <n v="1"/>
    <x v="0"/>
    <x v="3"/>
    <n v="-2.0956443479905524"/>
    <n v="2"/>
  </r>
  <r>
    <n v="6"/>
    <n v="70"/>
    <x v="0"/>
    <n v="1"/>
    <x v="1"/>
    <x v="0"/>
    <n v="-0.89304816971222556"/>
    <n v="1"/>
  </r>
  <r>
    <n v="6"/>
    <n v="70"/>
    <x v="0"/>
    <n v="1"/>
    <x v="1"/>
    <x v="1"/>
    <n v="-1.4467538396517436"/>
    <n v="1"/>
  </r>
  <r>
    <n v="6"/>
    <n v="70"/>
    <x v="0"/>
    <n v="1"/>
    <x v="1"/>
    <x v="2"/>
    <n v="-4.386048873265584"/>
    <n v="1"/>
  </r>
  <r>
    <n v="6"/>
    <n v="70"/>
    <x v="0"/>
    <n v="1"/>
    <x v="1"/>
    <x v="3"/>
    <n v="-6.0717070500055952"/>
    <n v="1"/>
  </r>
  <r>
    <n v="7"/>
    <n v="65"/>
    <x v="0"/>
    <n v="0"/>
    <x v="1"/>
    <x v="0"/>
    <n v="1.7612633854150772"/>
    <n v="1"/>
  </r>
  <r>
    <n v="7"/>
    <n v="65"/>
    <x v="0"/>
    <n v="0"/>
    <x v="1"/>
    <x v="1"/>
    <n v="-2.0013019839922586"/>
    <n v="1"/>
  </r>
  <r>
    <n v="7"/>
    <n v="65"/>
    <x v="0"/>
    <n v="0"/>
    <x v="1"/>
    <x v="2"/>
    <n v="-5.639089822769165"/>
    <n v="1"/>
  </r>
  <r>
    <n v="7"/>
    <n v="65"/>
    <x v="0"/>
    <n v="0"/>
    <x v="1"/>
    <x v="3"/>
    <n v="1.4012972336759171"/>
    <n v="1"/>
  </r>
  <r>
    <n v="8"/>
    <n v="76"/>
    <x v="1"/>
    <n v="0"/>
    <x v="0"/>
    <x v="0"/>
    <n v="3.376539409160614"/>
    <n v="2"/>
  </r>
  <r>
    <n v="8"/>
    <n v="76"/>
    <x v="1"/>
    <n v="0"/>
    <x v="0"/>
    <x v="1"/>
    <n v="-1.6891098866860073"/>
    <n v="2"/>
  </r>
  <r>
    <n v="8"/>
    <n v="76"/>
    <x v="1"/>
    <n v="0"/>
    <x v="0"/>
    <x v="2"/>
    <n v="-2.6836061676343284"/>
    <n v="2"/>
  </r>
  <r>
    <n v="8"/>
    <n v="76"/>
    <x v="1"/>
    <n v="0"/>
    <x v="0"/>
    <x v="3"/>
    <n v="4.7855982780456543"/>
    <n v="2"/>
  </r>
  <r>
    <n v="9"/>
    <n v="69"/>
    <x v="1"/>
    <n v="0"/>
    <x v="1"/>
    <x v="0"/>
    <n v="1.7334667419393857"/>
    <n v="1"/>
  </r>
  <r>
    <n v="9"/>
    <n v="69"/>
    <x v="1"/>
    <n v="0"/>
    <x v="1"/>
    <x v="1"/>
    <n v="1.6223526149988174"/>
    <n v="1"/>
  </r>
  <r>
    <n v="9"/>
    <n v="69"/>
    <x v="1"/>
    <n v="0"/>
    <x v="1"/>
    <x v="2"/>
    <n v="5.5526440143585205"/>
    <n v="1"/>
  </r>
  <r>
    <n v="9"/>
    <n v="69"/>
    <x v="1"/>
    <n v="0"/>
    <x v="1"/>
    <x v="3"/>
    <n v="3.0979952017466226"/>
    <n v="1"/>
  </r>
  <r>
    <n v="10"/>
    <n v="69"/>
    <x v="1"/>
    <n v="0"/>
    <x v="0"/>
    <x v="0"/>
    <n v="2.2392609914143882"/>
    <n v="2"/>
  </r>
  <r>
    <n v="10"/>
    <n v="69"/>
    <x v="1"/>
    <n v="0"/>
    <x v="0"/>
    <x v="1"/>
    <n v="2.1969366172949472"/>
    <n v="2"/>
  </r>
  <r>
    <n v="10"/>
    <n v="69"/>
    <x v="1"/>
    <n v="0"/>
    <x v="0"/>
    <x v="2"/>
    <n v="0.59900482992331183"/>
    <n v="2"/>
  </r>
  <r>
    <n v="10"/>
    <n v="69"/>
    <x v="1"/>
    <n v="0"/>
    <x v="0"/>
    <x v="3"/>
    <n v="2.0256947477658591"/>
    <n v="2"/>
  </r>
  <r>
    <n v="11"/>
    <n v="68"/>
    <x v="0"/>
    <n v="0"/>
    <x v="0"/>
    <x v="0"/>
    <n v="2.9767948786417642"/>
    <n v="2"/>
  </r>
  <r>
    <n v="11"/>
    <n v="68"/>
    <x v="0"/>
    <n v="0"/>
    <x v="0"/>
    <x v="1"/>
    <n v="0.73814490437507629"/>
    <n v="2"/>
  </r>
  <r>
    <n v="11"/>
    <n v="68"/>
    <x v="0"/>
    <n v="0"/>
    <x v="0"/>
    <x v="2"/>
    <n v="-1.4599848041931789"/>
    <n v="2"/>
  </r>
  <r>
    <n v="11"/>
    <n v="68"/>
    <x v="0"/>
    <n v="0"/>
    <x v="0"/>
    <x v="3"/>
    <n v="-1.5843749046325684"/>
    <n v="2"/>
  </r>
  <r>
    <n v="12"/>
    <n v="79"/>
    <x v="1"/>
    <n v="1"/>
    <x v="0"/>
    <x v="0"/>
    <n v="2.4086769819259644"/>
    <n v="2"/>
  </r>
  <r>
    <n v="12"/>
    <n v="79"/>
    <x v="1"/>
    <n v="1"/>
    <x v="0"/>
    <x v="1"/>
    <n v="2.3565218448638916"/>
    <n v="2"/>
  </r>
  <r>
    <n v="12"/>
    <n v="79"/>
    <x v="1"/>
    <n v="1"/>
    <x v="0"/>
    <x v="2"/>
    <n v="1.6360747913519542"/>
    <n v="2"/>
  </r>
  <r>
    <n v="12"/>
    <n v="79"/>
    <x v="1"/>
    <n v="1"/>
    <x v="0"/>
    <x v="3"/>
    <n v="2.3472966949144998"/>
    <n v="2"/>
  </r>
  <r>
    <n v="13"/>
    <n v="66"/>
    <x v="0"/>
    <n v="0"/>
    <x v="0"/>
    <x v="0"/>
    <n v="-2.5791567464669547"/>
    <n v="2"/>
  </r>
  <r>
    <n v="13"/>
    <n v="66"/>
    <x v="0"/>
    <n v="0"/>
    <x v="0"/>
    <x v="1"/>
    <n v="0.91438073913256324"/>
    <n v="2"/>
  </r>
  <r>
    <n v="13"/>
    <n v="66"/>
    <x v="0"/>
    <n v="0"/>
    <x v="0"/>
    <x v="2"/>
    <n v="-6.80224727632271"/>
    <n v="2"/>
  </r>
  <r>
    <n v="13"/>
    <n v="66"/>
    <x v="0"/>
    <n v="0"/>
    <x v="0"/>
    <x v="3"/>
    <n v="-5.3949912389119463"/>
    <n v="2"/>
  </r>
  <r>
    <n v="14"/>
    <n v="68"/>
    <x v="0"/>
    <n v="0"/>
    <x v="0"/>
    <x v="0"/>
    <n v="7.8579048315684004"/>
    <n v="2"/>
  </r>
  <r>
    <n v="14"/>
    <n v="68"/>
    <x v="0"/>
    <n v="0"/>
    <x v="0"/>
    <x v="1"/>
    <n v="7.4822476704915362"/>
    <n v="2"/>
  </r>
  <r>
    <n v="14"/>
    <n v="68"/>
    <x v="0"/>
    <n v="0"/>
    <x v="0"/>
    <x v="2"/>
    <n v="6.2365553379058838"/>
    <n v="2"/>
  </r>
  <r>
    <n v="14"/>
    <n v="68"/>
    <x v="0"/>
    <n v="0"/>
    <x v="0"/>
    <x v="3"/>
    <n v="6.1730193694432574"/>
    <n v="2"/>
  </r>
  <r>
    <n v="15"/>
    <n v="56"/>
    <x v="0"/>
    <n v="0"/>
    <x v="0"/>
    <x v="0"/>
    <n v="-6.4064592520395918"/>
    <n v="2"/>
  </r>
  <r>
    <n v="15"/>
    <n v="56"/>
    <x v="0"/>
    <n v="0"/>
    <x v="0"/>
    <x v="1"/>
    <n v="-7.6124788125356035"/>
    <n v="2"/>
  </r>
  <r>
    <n v="15"/>
    <n v="56"/>
    <x v="0"/>
    <n v="0"/>
    <x v="0"/>
    <x v="2"/>
    <n v="-6.3245464563369751"/>
    <n v="2"/>
  </r>
  <r>
    <n v="15"/>
    <n v="56"/>
    <x v="0"/>
    <n v="0"/>
    <x v="0"/>
    <x v="3"/>
    <n v="-3.4489742008348308"/>
    <n v="2"/>
  </r>
  <r>
    <n v="16"/>
    <n v="75"/>
    <x v="0"/>
    <n v="1"/>
    <x v="1"/>
    <x v="0"/>
    <n v="1.393416702747345"/>
    <n v="1"/>
  </r>
  <r>
    <n v="16"/>
    <n v="75"/>
    <x v="0"/>
    <n v="1"/>
    <x v="1"/>
    <x v="1"/>
    <n v="0.24756570657094321"/>
    <n v="1"/>
  </r>
  <r>
    <n v="16"/>
    <n v="75"/>
    <x v="0"/>
    <n v="1"/>
    <x v="1"/>
    <x v="2"/>
    <n v="-2.1282387574513755"/>
    <n v="1"/>
  </r>
  <r>
    <n v="16"/>
    <n v="75"/>
    <x v="0"/>
    <n v="1"/>
    <x v="1"/>
    <x v="3"/>
    <n v="-1.3396751284599304"/>
    <n v="1"/>
  </r>
  <r>
    <n v="17"/>
    <n v="70"/>
    <x v="0"/>
    <n v="0"/>
    <x v="1"/>
    <x v="0"/>
    <n v="5.4209199746449785"/>
    <n v="1"/>
  </r>
  <r>
    <n v="17"/>
    <n v="70"/>
    <x v="0"/>
    <n v="0"/>
    <x v="1"/>
    <x v="1"/>
    <n v="4.9536165793736773"/>
    <n v="1"/>
  </r>
  <r>
    <n v="17"/>
    <n v="70"/>
    <x v="0"/>
    <n v="0"/>
    <x v="1"/>
    <x v="2"/>
    <n v="2.5037049849828086"/>
    <n v="1"/>
  </r>
  <r>
    <n v="17"/>
    <n v="70"/>
    <x v="0"/>
    <n v="0"/>
    <x v="1"/>
    <x v="3"/>
    <n v="6.1206534703572588"/>
    <n v="1"/>
  </r>
  <r>
    <n v="18"/>
    <n v="77"/>
    <x v="1"/>
    <n v="0"/>
    <x v="1"/>
    <x v="0"/>
    <n v="3.1664471061279378"/>
    <n v="1"/>
  </r>
  <r>
    <n v="18"/>
    <n v="77"/>
    <x v="1"/>
    <n v="0"/>
    <x v="1"/>
    <x v="1"/>
    <n v="1.5964809426416953"/>
    <n v="1"/>
  </r>
  <r>
    <n v="18"/>
    <n v="77"/>
    <x v="1"/>
    <n v="0"/>
    <x v="1"/>
    <x v="2"/>
    <n v="5.7098118464152021"/>
    <n v="1"/>
  </r>
  <r>
    <n v="18"/>
    <n v="77"/>
    <x v="1"/>
    <n v="0"/>
    <x v="1"/>
    <x v="3"/>
    <n v="-2.1894535788645348"/>
    <n v="1"/>
  </r>
  <r>
    <n v="19"/>
    <n v="68"/>
    <x v="1"/>
    <n v="0"/>
    <x v="1"/>
    <x v="0"/>
    <n v="-1.2056001474459965"/>
    <n v="1"/>
  </r>
  <r>
    <n v="19"/>
    <n v="68"/>
    <x v="1"/>
    <n v="0"/>
    <x v="1"/>
    <x v="1"/>
    <n v="4.1225565274556475"/>
    <n v="1"/>
  </r>
  <r>
    <n v="19"/>
    <n v="68"/>
    <x v="1"/>
    <n v="0"/>
    <x v="1"/>
    <x v="2"/>
    <n v="-5.8517903089523315E-3"/>
    <n v="1"/>
  </r>
  <r>
    <n v="19"/>
    <n v="68"/>
    <x v="1"/>
    <n v="0"/>
    <x v="1"/>
    <x v="3"/>
    <n v="0.34140772620836896"/>
    <n v="1"/>
  </r>
  <r>
    <n v="20"/>
    <n v="66"/>
    <x v="0"/>
    <n v="0"/>
    <x v="1"/>
    <x v="0"/>
    <n v="-4.08640197912852"/>
    <n v="1"/>
  </r>
  <r>
    <n v="20"/>
    <n v="66"/>
    <x v="0"/>
    <n v="0"/>
    <x v="1"/>
    <x v="1"/>
    <n v="-2.1716714911162853"/>
    <n v="1"/>
  </r>
  <r>
    <n v="20"/>
    <n v="66"/>
    <x v="0"/>
    <n v="0"/>
    <x v="1"/>
    <x v="2"/>
    <n v="-3.1472865343093872"/>
    <n v="1"/>
  </r>
  <r>
    <n v="20"/>
    <n v="66"/>
    <x v="0"/>
    <n v="0"/>
    <x v="1"/>
    <x v="3"/>
    <n v="-2.4560110916694007"/>
    <n v="1"/>
  </r>
  <r>
    <n v="21"/>
    <n v="64"/>
    <x v="0"/>
    <n v="0"/>
    <x v="1"/>
    <x v="0"/>
    <n v="0.24067258089780807"/>
    <n v="1"/>
  </r>
  <r>
    <n v="21"/>
    <n v="64"/>
    <x v="0"/>
    <n v="0"/>
    <x v="1"/>
    <x v="1"/>
    <n v="3.4764880736668906"/>
    <n v="1"/>
  </r>
  <r>
    <n v="21"/>
    <n v="64"/>
    <x v="0"/>
    <n v="0"/>
    <x v="1"/>
    <x v="2"/>
    <n v="8.2424639860788975"/>
    <n v="1"/>
  </r>
  <r>
    <n v="21"/>
    <n v="64"/>
    <x v="0"/>
    <n v="0"/>
    <x v="1"/>
    <x v="3"/>
    <n v="2.3706536293029785"/>
    <n v="1"/>
  </r>
  <r>
    <n v="22"/>
    <n v="77"/>
    <x v="1"/>
    <n v="0"/>
    <x v="1"/>
    <x v="0"/>
    <n v="8.9959006309509277"/>
    <n v="1"/>
  </r>
  <r>
    <n v="22"/>
    <n v="77"/>
    <x v="1"/>
    <n v="0"/>
    <x v="1"/>
    <x v="1"/>
    <n v="4.0493515729904175"/>
    <n v="1"/>
  </r>
  <r>
    <n v="22"/>
    <n v="77"/>
    <x v="1"/>
    <n v="0"/>
    <x v="1"/>
    <x v="2"/>
    <n v="8.2936935424804687"/>
    <n v="1"/>
  </r>
  <r>
    <n v="22"/>
    <n v="77"/>
    <x v="1"/>
    <n v="0"/>
    <x v="1"/>
    <x v="3"/>
    <n v="5.8578232129414873"/>
    <n v="1"/>
  </r>
  <r>
    <n v="23"/>
    <n v="67"/>
    <x v="0"/>
    <n v="0"/>
    <x v="0"/>
    <x v="0"/>
    <n v="5.3181074435512228"/>
    <n v="2"/>
  </r>
  <r>
    <n v="23"/>
    <n v="67"/>
    <x v="0"/>
    <n v="0"/>
    <x v="0"/>
    <x v="1"/>
    <n v="3.7624579071998596"/>
    <n v="2"/>
  </r>
  <r>
    <n v="23"/>
    <n v="67"/>
    <x v="0"/>
    <n v="0"/>
    <x v="0"/>
    <x v="2"/>
    <n v="6.4372858919699993"/>
    <n v="2"/>
  </r>
  <r>
    <n v="23"/>
    <n v="67"/>
    <x v="0"/>
    <n v="0"/>
    <x v="0"/>
    <x v="3"/>
    <n v="3.1081073681513467"/>
    <n v="2"/>
  </r>
  <r>
    <n v="24"/>
    <n v="63"/>
    <x v="0"/>
    <n v="0"/>
    <x v="0"/>
    <x v="0"/>
    <n v="3.6978201866149902"/>
    <n v="2"/>
  </r>
  <r>
    <n v="24"/>
    <n v="63"/>
    <x v="0"/>
    <n v="0"/>
    <x v="0"/>
    <x v="1"/>
    <n v="0.54463418573141098"/>
    <n v="2"/>
  </r>
  <r>
    <n v="24"/>
    <n v="63"/>
    <x v="0"/>
    <n v="0"/>
    <x v="0"/>
    <x v="2"/>
    <n v="-0.95333193490902579"/>
    <n v="2"/>
  </r>
  <r>
    <n v="24"/>
    <n v="63"/>
    <x v="0"/>
    <n v="0"/>
    <x v="0"/>
    <x v="3"/>
    <n v="-2.6636234819889069"/>
    <n v="2"/>
  </r>
  <r>
    <n v="25"/>
    <n v="65"/>
    <x v="0"/>
    <n v="0"/>
    <x v="1"/>
    <x v="0"/>
    <n v="-1.6078496972719829"/>
    <n v="1"/>
  </r>
  <r>
    <n v="25"/>
    <n v="65"/>
    <x v="0"/>
    <n v="0"/>
    <x v="1"/>
    <x v="1"/>
    <n v="1.1127965946992238"/>
    <n v="1"/>
  </r>
  <r>
    <n v="25"/>
    <n v="65"/>
    <x v="0"/>
    <n v="0"/>
    <x v="1"/>
    <x v="2"/>
    <n v="1.0117515921592712"/>
    <n v="1"/>
  </r>
  <r>
    <n v="25"/>
    <n v="65"/>
    <x v="0"/>
    <n v="0"/>
    <x v="1"/>
    <x v="3"/>
    <n v="-2.9793335138044008"/>
    <n v="1"/>
  </r>
  <r>
    <n v="26"/>
    <n v="71"/>
    <x v="0"/>
    <n v="0"/>
    <x v="1"/>
    <x v="0"/>
    <n v="3.967746376991272"/>
    <n v="1"/>
  </r>
  <r>
    <n v="26"/>
    <n v="71"/>
    <x v="0"/>
    <n v="0"/>
    <x v="1"/>
    <x v="1"/>
    <n v="5.1137152910232544"/>
    <n v="1"/>
  </r>
  <r>
    <n v="26"/>
    <n v="71"/>
    <x v="0"/>
    <n v="0"/>
    <x v="1"/>
    <x v="2"/>
    <n v="1.1819858675201733"/>
    <n v="1"/>
  </r>
  <r>
    <n v="26"/>
    <n v="71"/>
    <x v="0"/>
    <n v="0"/>
    <x v="1"/>
    <x v="3"/>
    <n v="0.58742962529261911"/>
    <n v="1"/>
  </r>
  <r>
    <n v="27"/>
    <n v="69"/>
    <x v="1"/>
    <n v="0"/>
    <x v="1"/>
    <x v="0"/>
    <n v="-1.8481139938036601"/>
    <n v="1"/>
  </r>
  <r>
    <n v="27"/>
    <n v="69"/>
    <x v="1"/>
    <n v="0"/>
    <x v="1"/>
    <x v="1"/>
    <n v="2.1209630072116852"/>
    <n v="1"/>
  </r>
  <r>
    <n v="27"/>
    <n v="69"/>
    <x v="1"/>
    <n v="0"/>
    <x v="1"/>
    <x v="2"/>
    <n v="-5.2735296885172529"/>
    <n v="1"/>
  </r>
  <r>
    <n v="27"/>
    <n v="69"/>
    <x v="1"/>
    <n v="0"/>
    <x v="1"/>
    <x v="3"/>
    <n v="-2.1826321383317313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6" cacheId="17" applyNumberFormats="0" applyBorderFormats="0" applyFontFormats="0" applyPatternFormats="0" applyAlignmentFormats="0" applyWidthHeightFormats="1" dataCaption="值" updatedVersion="5" minRefreshableVersion="3" useAutoFormatting="1" itemPrintTitles="1" createdVersion="5" indent="0" outline="1" outlineData="1" multipleFieldFilters="0" chartFormat="1">
  <location ref="A51:B54" firstHeaderRow="1" firstDataRow="1" firstDataCol="1"/>
  <pivotFields count="8"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平均值项:N300" fld="6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5" cacheId="17" applyNumberFormats="0" applyBorderFormats="0" applyFontFormats="0" applyPatternFormats="0" applyAlignmentFormats="0" applyWidthHeightFormats="1" dataCaption="值" updatedVersion="5" minRefreshableVersion="3" useAutoFormatting="1" itemPrintTitles="1" createdVersion="5" indent="0" outline="1" outlineData="1" multipleFieldFilters="0" chartFormat="1">
  <location ref="F31:G34" firstHeaderRow="1" firstDataRow="1" firstDataCol="1"/>
  <pivotFields count="8"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平均值项:N300" fld="6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数据透视表4" cacheId="17" applyNumberFormats="0" applyBorderFormats="0" applyFontFormats="0" applyPatternFormats="0" applyAlignmentFormats="0" applyWidthHeightFormats="1" dataCaption="值" updatedVersion="5" minRefreshableVersion="3" useAutoFormatting="1" itemPrintTitles="1" createdVersion="5" indent="0" outline="1" outlineData="1" multipleFieldFilters="0" chartFormat="1">
  <location ref="G10:H15" firstHeaderRow="1" firstDataRow="1" firstDataCol="1"/>
  <pivotFields count="8"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dataField="1"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平均值项:N300" fld="6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数据透视表3" cacheId="17" applyNumberFormats="0" applyBorderFormats="0" applyFontFormats="0" applyPatternFormats="0" applyAlignmentFormats="0" applyWidthHeightFormats="1" dataCaption="值" updatedVersion="5" minRefreshableVersion="3" useAutoFormatting="1" itemPrintTitles="1" createdVersion="5" indent="0" outline="1" outlineData="1" multipleFieldFilters="0" chartFormat="1">
  <location ref="G1:M8" firstHeaderRow="1" firstDataRow="3" firstDataCol="1"/>
  <pivotFields count="8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dataField="1"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2">
    <field x="4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平均值项:N300" fld="6" subtotal="average" baseField="5" baseItem="0"/>
    <dataField name="标准偏差项:N300" fld="6" subtotal="stdDev" baseField="0" baseItem="0"/>
  </dataFields>
  <formats count="9">
    <format dxfId="19">
      <pivotArea type="all" dataOnly="0" outline="0" fieldPosition="0"/>
    </format>
    <format dxfId="9">
      <pivotArea outline="0" collapsedLevelsAreSubtotals="1" fieldPosition="0"/>
    </format>
    <format dxfId="8">
      <pivotArea dataOnly="0" labelOnly="1" fieldPosition="0">
        <references count="1">
          <reference field="5" count="0"/>
        </references>
      </pivotArea>
    </format>
    <format dxfId="7">
      <pivotArea dataOnly="0" labelOnly="1" grandRow="1" outline="0" fieldPosition="0"/>
    </format>
    <format dxfId="6">
      <pivotArea dataOnly="0" labelOnly="1" fieldPosition="0">
        <references count="1">
          <reference field="4" count="0"/>
        </references>
      </pivotArea>
    </format>
    <format dxfId="5">
      <pivotArea field="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">
      <pivotArea field="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0"/>
          </reference>
        </references>
      </pivotArea>
    </format>
    <format dxfId="0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1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数据透视表1" cacheId="17" applyNumberFormats="0" applyBorderFormats="0" applyFontFormats="0" applyPatternFormats="0" applyAlignmentFormats="0" applyWidthHeightFormats="1" dataCaption="值" updatedVersion="5" minRefreshableVersion="3" useAutoFormatting="1" itemPrintTitles="1" createdVersion="5" indent="0" outline="1" outlineData="1" multipleFieldFilters="0" chartFormat="17">
  <location ref="A1:D7" firstHeaderRow="1" firstDataRow="2" firstDataCol="1"/>
  <pivotFields count="8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dataField="1"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平均值项:N300" fld="6" subtotal="average" baseField="0" baseItem="0" numFmtId="2"/>
  </dataFields>
  <formats count="6">
    <format dxfId="137">
      <pivotArea type="all" dataOnly="0" outline="0" fieldPosition="0"/>
    </format>
    <format dxfId="136">
      <pivotArea outline="0" collapsedLevelsAreSubtotals="1" fieldPosition="0"/>
    </format>
    <format dxfId="135">
      <pivotArea dataOnly="0" labelOnly="1" fieldPosition="0">
        <references count="1">
          <reference field="5" count="0"/>
        </references>
      </pivotArea>
    </format>
    <format dxfId="134">
      <pivotArea dataOnly="0" labelOnly="1" grandRow="1" outline="0" fieldPosition="0"/>
    </format>
    <format dxfId="133">
      <pivotArea dataOnly="0" labelOnly="1" fieldPosition="0">
        <references count="1">
          <reference field="4" count="0"/>
        </references>
      </pivotArea>
    </format>
    <format dxfId="132">
      <pivotArea dataOnly="0" labelOnly="1" grandCol="1" outline="0" fieldPosition="0"/>
    </format>
  </formats>
  <chartFormats count="2"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workbookViewId="0">
      <selection activeCell="H2" sqref="H2:K27"/>
    </sheetView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>
        <v>1</v>
      </c>
      <c r="B2" s="1">
        <v>68</v>
      </c>
      <c r="C2" s="1">
        <v>2</v>
      </c>
      <c r="D2" s="1">
        <v>1</v>
      </c>
      <c r="E2" s="1" t="s">
        <v>11</v>
      </c>
      <c r="F2" s="1">
        <v>3</v>
      </c>
      <c r="G2" s="1">
        <v>2</v>
      </c>
      <c r="H2" s="1">
        <v>-0.8022052372495333</v>
      </c>
      <c r="I2" s="1">
        <v>-4.1484146758448333</v>
      </c>
      <c r="J2" s="1">
        <v>-7.7550695737202959</v>
      </c>
      <c r="K2" s="1">
        <v>-1.2545630633831024</v>
      </c>
    </row>
    <row r="3" spans="1:11" x14ac:dyDescent="0.25">
      <c r="A3" s="1">
        <v>3</v>
      </c>
      <c r="B3" s="1">
        <v>65</v>
      </c>
      <c r="C3" s="1">
        <v>2</v>
      </c>
      <c r="D3" s="1">
        <v>1</v>
      </c>
      <c r="E3" s="1" t="s">
        <v>12</v>
      </c>
      <c r="F3" s="1">
        <v>2</v>
      </c>
      <c r="G3" s="1">
        <v>2</v>
      </c>
      <c r="H3" s="1">
        <v>-2.07015167673429</v>
      </c>
      <c r="I3" s="1">
        <v>-3.9393616076838227</v>
      </c>
      <c r="J3" s="1">
        <v>-7.3758445088234224</v>
      </c>
      <c r="K3" s="1">
        <v>0.3910425106684367</v>
      </c>
    </row>
    <row r="4" spans="1:11" x14ac:dyDescent="0.25">
      <c r="A4" s="1">
        <v>4</v>
      </c>
      <c r="B4" s="1">
        <v>66</v>
      </c>
      <c r="C4" s="1">
        <v>1</v>
      </c>
      <c r="D4" s="1">
        <v>1</v>
      </c>
      <c r="E4" s="1" t="s">
        <v>12</v>
      </c>
      <c r="F4" s="1">
        <v>3</v>
      </c>
      <c r="G4" s="1">
        <v>2</v>
      </c>
      <c r="H4" s="1">
        <v>-2.4053960939248404</v>
      </c>
      <c r="I4" s="1">
        <v>1.4303397011756898</v>
      </c>
      <c r="J4" s="1">
        <v>-3.9309257666269937</v>
      </c>
      <c r="K4" s="1">
        <v>1.4893154899279277</v>
      </c>
    </row>
    <row r="5" spans="1:11" x14ac:dyDescent="0.25">
      <c r="A5" s="1">
        <v>5</v>
      </c>
      <c r="B5" s="1">
        <v>66</v>
      </c>
      <c r="C5" s="1">
        <v>2</v>
      </c>
      <c r="D5" s="1">
        <v>2</v>
      </c>
      <c r="E5" s="1" t="s">
        <v>13</v>
      </c>
      <c r="F5" s="1">
        <v>2</v>
      </c>
      <c r="G5" s="1">
        <v>2</v>
      </c>
      <c r="H5" s="1">
        <v>-1.9980713650584221</v>
      </c>
      <c r="I5" s="1">
        <v>5.7963300496339798E-3</v>
      </c>
      <c r="J5" s="1">
        <v>-1.155624936024348</v>
      </c>
      <c r="K5" s="1">
        <v>-2.0956443479905524</v>
      </c>
    </row>
    <row r="6" spans="1:11" x14ac:dyDescent="0.25">
      <c r="A6" s="1">
        <v>6</v>
      </c>
      <c r="B6" s="1">
        <v>70</v>
      </c>
      <c r="C6" s="1">
        <v>2</v>
      </c>
      <c r="D6" s="1">
        <v>2</v>
      </c>
      <c r="E6" s="1" t="s">
        <v>13</v>
      </c>
      <c r="F6" s="1">
        <v>2</v>
      </c>
      <c r="G6" s="1">
        <v>1</v>
      </c>
      <c r="H6" s="1">
        <v>-0.89304816971222556</v>
      </c>
      <c r="I6" s="1">
        <v>-1.4467538396517436</v>
      </c>
      <c r="J6" s="1">
        <v>-4.386048873265584</v>
      </c>
      <c r="K6" s="1">
        <v>-6.0717070500055952</v>
      </c>
    </row>
    <row r="7" spans="1:11" x14ac:dyDescent="0.25">
      <c r="A7" s="1">
        <v>7</v>
      </c>
      <c r="B7" s="1">
        <v>65</v>
      </c>
      <c r="C7" s="1">
        <v>2</v>
      </c>
      <c r="D7" s="1">
        <v>1</v>
      </c>
      <c r="E7" s="1" t="s">
        <v>13</v>
      </c>
      <c r="F7" s="1">
        <v>2</v>
      </c>
      <c r="G7" s="1">
        <v>1</v>
      </c>
      <c r="H7" s="1">
        <v>1.7612633854150772</v>
      </c>
      <c r="I7" s="1">
        <v>-2.0013019839922586</v>
      </c>
      <c r="J7" s="1">
        <v>-5.639089822769165</v>
      </c>
      <c r="K7" s="1">
        <v>1.4012972336759171</v>
      </c>
    </row>
    <row r="8" spans="1:11" x14ac:dyDescent="0.25">
      <c r="A8" s="1">
        <v>8</v>
      </c>
      <c r="B8" s="1">
        <v>76</v>
      </c>
      <c r="C8" s="1">
        <v>1</v>
      </c>
      <c r="D8" s="1">
        <v>1</v>
      </c>
      <c r="E8" s="1" t="s">
        <v>11</v>
      </c>
      <c r="F8" s="1">
        <v>3</v>
      </c>
      <c r="G8" s="1">
        <v>2</v>
      </c>
      <c r="H8" s="1">
        <v>3.376539409160614</v>
      </c>
      <c r="I8" s="1">
        <v>-1.6891098866860073</v>
      </c>
      <c r="J8" s="1">
        <v>-2.6836061676343284</v>
      </c>
      <c r="K8" s="1">
        <v>4.7855982780456543</v>
      </c>
    </row>
    <row r="9" spans="1:11" x14ac:dyDescent="0.25">
      <c r="A9" s="1">
        <v>9</v>
      </c>
      <c r="B9" s="1">
        <v>69</v>
      </c>
      <c r="C9" s="1">
        <v>1</v>
      </c>
      <c r="D9" s="1">
        <v>1</v>
      </c>
      <c r="E9" s="1" t="s">
        <v>14</v>
      </c>
      <c r="F9" s="1">
        <v>1</v>
      </c>
      <c r="G9" s="1">
        <v>1</v>
      </c>
      <c r="H9" s="1">
        <v>1.7334667419393857</v>
      </c>
      <c r="I9" s="1">
        <v>1.6223526149988174</v>
      </c>
      <c r="J9" s="1">
        <v>5.5526440143585205</v>
      </c>
      <c r="K9" s="1">
        <v>3.0979952017466226</v>
      </c>
    </row>
    <row r="10" spans="1:11" x14ac:dyDescent="0.25">
      <c r="A10" s="1">
        <v>10</v>
      </c>
      <c r="B10" s="1">
        <v>69</v>
      </c>
      <c r="C10" s="1">
        <v>1</v>
      </c>
      <c r="D10" s="1">
        <v>1</v>
      </c>
      <c r="E10" s="1" t="s">
        <v>11</v>
      </c>
      <c r="F10" s="1">
        <v>3</v>
      </c>
      <c r="G10" s="1">
        <v>2</v>
      </c>
      <c r="H10" s="1">
        <v>2.2392609914143882</v>
      </c>
      <c r="I10" s="1">
        <v>2.1969366172949472</v>
      </c>
      <c r="J10" s="1">
        <v>0.59900482992331183</v>
      </c>
      <c r="K10" s="1">
        <v>2.0256947477658591</v>
      </c>
    </row>
    <row r="11" spans="1:11" x14ac:dyDescent="0.25">
      <c r="A11" s="1">
        <v>11</v>
      </c>
      <c r="B11" s="1">
        <v>68</v>
      </c>
      <c r="C11" s="1">
        <v>2</v>
      </c>
      <c r="D11" s="1">
        <v>1</v>
      </c>
      <c r="E11" s="1" t="s">
        <v>11</v>
      </c>
      <c r="F11" s="1">
        <v>3</v>
      </c>
      <c r="G11" s="1">
        <v>2</v>
      </c>
      <c r="H11" s="1">
        <v>2.9767948786417642</v>
      </c>
      <c r="I11" s="1">
        <v>0.73814490437507629</v>
      </c>
      <c r="J11" s="1">
        <v>-1.4599848041931789</v>
      </c>
      <c r="K11" s="1">
        <v>-1.5843749046325684</v>
      </c>
    </row>
    <row r="12" spans="1:11" x14ac:dyDescent="0.25">
      <c r="A12" s="1">
        <v>12</v>
      </c>
      <c r="B12" s="1">
        <v>79</v>
      </c>
      <c r="C12" s="1">
        <v>1</v>
      </c>
      <c r="D12" s="1">
        <v>2</v>
      </c>
      <c r="E12" s="1" t="s">
        <v>12</v>
      </c>
      <c r="F12" s="1">
        <v>3</v>
      </c>
      <c r="G12" s="1">
        <v>2</v>
      </c>
      <c r="H12" s="1">
        <v>2.4086769819259644</v>
      </c>
      <c r="I12" s="1">
        <v>2.3565218448638916</v>
      </c>
      <c r="J12" s="1">
        <v>1.6360747913519542</v>
      </c>
      <c r="K12" s="1">
        <v>2.3472966949144998</v>
      </c>
    </row>
    <row r="13" spans="1:11" x14ac:dyDescent="0.25">
      <c r="A13" s="1">
        <v>13</v>
      </c>
      <c r="B13" s="1">
        <v>66</v>
      </c>
      <c r="C13" s="1">
        <v>2</v>
      </c>
      <c r="D13" s="1">
        <v>1</v>
      </c>
      <c r="E13" s="1" t="s">
        <v>11</v>
      </c>
      <c r="F13" s="1">
        <v>3</v>
      </c>
      <c r="G13" s="1">
        <v>2</v>
      </c>
      <c r="H13" s="1">
        <v>-2.5791567464669547</v>
      </c>
      <c r="I13" s="1">
        <v>0.91438073913256324</v>
      </c>
      <c r="J13" s="1">
        <v>-6.80224727632271</v>
      </c>
      <c r="K13" s="1">
        <v>-5.3949912389119463</v>
      </c>
    </row>
    <row r="14" spans="1:11" x14ac:dyDescent="0.25">
      <c r="A14" s="1">
        <v>14</v>
      </c>
      <c r="B14" s="1">
        <v>68</v>
      </c>
      <c r="C14" s="1">
        <v>2</v>
      </c>
      <c r="D14" s="1">
        <v>1</v>
      </c>
      <c r="E14" s="1" t="s">
        <v>12</v>
      </c>
      <c r="F14" s="1">
        <v>3</v>
      </c>
      <c r="G14" s="1">
        <v>2</v>
      </c>
      <c r="H14" s="1">
        <v>7.8579048315684004</v>
      </c>
      <c r="I14" s="1">
        <v>7.4822476704915362</v>
      </c>
      <c r="J14" s="1">
        <v>6.2365553379058838</v>
      </c>
      <c r="K14" s="1">
        <v>6.1730193694432574</v>
      </c>
    </row>
    <row r="15" spans="1:11" x14ac:dyDescent="0.25">
      <c r="A15" s="1">
        <v>15</v>
      </c>
      <c r="B15" s="1">
        <v>56</v>
      </c>
      <c r="C15" s="1">
        <v>2</v>
      </c>
      <c r="D15" s="1">
        <v>1</v>
      </c>
      <c r="E15" s="1" t="s">
        <v>12</v>
      </c>
      <c r="F15" s="1">
        <v>2</v>
      </c>
      <c r="G15" s="1">
        <v>2</v>
      </c>
      <c r="H15" s="1">
        <v>-6.4064592520395918</v>
      </c>
      <c r="I15" s="1">
        <v>-7.6124788125356035</v>
      </c>
      <c r="J15" s="1">
        <v>-6.3245464563369751</v>
      </c>
      <c r="K15" s="1">
        <v>-3.4489742008348308</v>
      </c>
    </row>
    <row r="16" spans="1:11" x14ac:dyDescent="0.25">
      <c r="A16" s="1">
        <v>16</v>
      </c>
      <c r="B16" s="1">
        <v>75</v>
      </c>
      <c r="C16" s="1">
        <v>2</v>
      </c>
      <c r="D16" s="1">
        <v>2</v>
      </c>
      <c r="E16" s="1" t="s">
        <v>14</v>
      </c>
      <c r="F16" s="1">
        <v>1</v>
      </c>
      <c r="G16" s="1">
        <v>1</v>
      </c>
      <c r="H16" s="1">
        <v>1.393416702747345</v>
      </c>
      <c r="I16" s="1">
        <v>0.24756570657094321</v>
      </c>
      <c r="J16" s="1">
        <v>-2.1282387574513755</v>
      </c>
      <c r="K16" s="1">
        <v>-1.3396751284599304</v>
      </c>
    </row>
    <row r="17" spans="1:11" x14ac:dyDescent="0.25">
      <c r="A17" s="1">
        <v>17</v>
      </c>
      <c r="B17" s="1">
        <v>70</v>
      </c>
      <c r="C17" s="1">
        <v>2</v>
      </c>
      <c r="D17" s="1">
        <v>1</v>
      </c>
      <c r="E17" s="1" t="s">
        <v>13</v>
      </c>
      <c r="F17" s="1">
        <v>1</v>
      </c>
      <c r="G17" s="1">
        <v>1</v>
      </c>
      <c r="H17" s="1">
        <v>5.4209199746449785</v>
      </c>
      <c r="I17" s="1">
        <v>4.9536165793736773</v>
      </c>
      <c r="J17" s="1">
        <v>2.5037049849828086</v>
      </c>
      <c r="K17" s="1">
        <v>6.1206534703572588</v>
      </c>
    </row>
    <row r="18" spans="1:11" x14ac:dyDescent="0.25">
      <c r="A18" s="1">
        <v>18</v>
      </c>
      <c r="B18" s="1">
        <v>77</v>
      </c>
      <c r="C18" s="1">
        <v>1</v>
      </c>
      <c r="D18" s="1">
        <v>1</v>
      </c>
      <c r="E18" s="1" t="s">
        <v>14</v>
      </c>
      <c r="F18" s="1">
        <v>1</v>
      </c>
      <c r="G18" s="1">
        <v>1</v>
      </c>
      <c r="H18" s="1">
        <v>3.1664471061279378</v>
      </c>
      <c r="I18" s="1">
        <v>1.5964809426416953</v>
      </c>
      <c r="J18" s="1">
        <v>5.7098118464152021</v>
      </c>
      <c r="K18" s="1">
        <v>-2.1894535788645348</v>
      </c>
    </row>
    <row r="19" spans="1:11" x14ac:dyDescent="0.25">
      <c r="A19" s="1">
        <v>19</v>
      </c>
      <c r="B19" s="1">
        <v>68</v>
      </c>
      <c r="C19" s="1">
        <v>1</v>
      </c>
      <c r="D19" s="1">
        <v>1</v>
      </c>
      <c r="E19" s="1" t="s">
        <v>13</v>
      </c>
      <c r="F19" s="1">
        <v>2</v>
      </c>
      <c r="G19" s="1">
        <v>1</v>
      </c>
      <c r="H19" s="1">
        <v>-1.2056001474459965</v>
      </c>
      <c r="I19" s="1">
        <v>4.1225565274556475</v>
      </c>
      <c r="J19" s="1">
        <v>-5.8517903089523315E-3</v>
      </c>
      <c r="K19" s="1">
        <v>0.34140772620836896</v>
      </c>
    </row>
    <row r="20" spans="1:11" x14ac:dyDescent="0.25">
      <c r="A20" s="1">
        <v>20</v>
      </c>
      <c r="B20" s="1">
        <v>66</v>
      </c>
      <c r="C20" s="1">
        <v>2</v>
      </c>
      <c r="D20" s="1">
        <v>1</v>
      </c>
      <c r="E20" s="1" t="s">
        <v>14</v>
      </c>
      <c r="F20" s="1">
        <v>1</v>
      </c>
      <c r="G20" s="1">
        <v>1</v>
      </c>
      <c r="H20" s="1">
        <v>-4.08640197912852</v>
      </c>
      <c r="I20" s="1">
        <v>-2.1716714911162853</v>
      </c>
      <c r="J20" s="1">
        <v>-3.1472865343093872</v>
      </c>
      <c r="K20" s="1">
        <v>-2.4560110916694007</v>
      </c>
    </row>
    <row r="21" spans="1:11" x14ac:dyDescent="0.25">
      <c r="A21" s="1">
        <v>21</v>
      </c>
      <c r="B21" s="1">
        <v>64</v>
      </c>
      <c r="C21" s="1">
        <v>2</v>
      </c>
      <c r="D21" s="1">
        <v>1</v>
      </c>
      <c r="E21" s="1" t="s">
        <v>14</v>
      </c>
      <c r="F21" s="1">
        <v>1</v>
      </c>
      <c r="G21" s="1">
        <v>1</v>
      </c>
      <c r="H21" s="1">
        <v>0.24067258089780807</v>
      </c>
      <c r="I21" s="1">
        <v>3.4764880736668906</v>
      </c>
      <c r="J21" s="1">
        <v>8.2424639860788975</v>
      </c>
      <c r="K21" s="1">
        <v>2.3706536293029785</v>
      </c>
    </row>
    <row r="22" spans="1:11" x14ac:dyDescent="0.25">
      <c r="A22" s="1">
        <v>22</v>
      </c>
      <c r="B22" s="1">
        <v>77</v>
      </c>
      <c r="C22" s="1">
        <v>1</v>
      </c>
      <c r="D22" s="1">
        <v>1</v>
      </c>
      <c r="E22" s="1" t="s">
        <v>13</v>
      </c>
      <c r="F22" s="1">
        <v>2</v>
      </c>
      <c r="G22" s="1">
        <v>1</v>
      </c>
      <c r="H22" s="1">
        <v>8.9959006309509277</v>
      </c>
      <c r="I22" s="1">
        <v>4.0493515729904175</v>
      </c>
      <c r="J22" s="1">
        <v>8.2936935424804687</v>
      </c>
      <c r="K22" s="1">
        <v>5.8578232129414873</v>
      </c>
    </row>
    <row r="23" spans="1:11" x14ac:dyDescent="0.25">
      <c r="A23" s="1">
        <v>23</v>
      </c>
      <c r="B23" s="1">
        <v>67</v>
      </c>
      <c r="C23" s="1">
        <v>2</v>
      </c>
      <c r="D23" s="1">
        <v>1</v>
      </c>
      <c r="E23" s="1" t="s">
        <v>12</v>
      </c>
      <c r="F23" s="1">
        <v>2</v>
      </c>
      <c r="G23" s="1">
        <v>2</v>
      </c>
      <c r="H23" s="1">
        <v>5.3181074435512228</v>
      </c>
      <c r="I23" s="1">
        <v>3.7624579071998596</v>
      </c>
      <c r="J23" s="1">
        <v>6.4372858919699993</v>
      </c>
      <c r="K23" s="1">
        <v>3.1081073681513467</v>
      </c>
    </row>
    <row r="24" spans="1:11" x14ac:dyDescent="0.25">
      <c r="A24" s="1">
        <v>24</v>
      </c>
      <c r="B24" s="1">
        <v>63</v>
      </c>
      <c r="C24" s="1">
        <v>2</v>
      </c>
      <c r="D24" s="1">
        <v>1</v>
      </c>
      <c r="E24" s="1" t="s">
        <v>12</v>
      </c>
      <c r="F24" s="1">
        <v>3</v>
      </c>
      <c r="G24" s="1">
        <v>2</v>
      </c>
      <c r="H24" s="1">
        <v>3.6978201866149902</v>
      </c>
      <c r="I24" s="1">
        <v>0.54463418573141098</v>
      </c>
      <c r="J24" s="1">
        <v>-0.95333193490902579</v>
      </c>
      <c r="K24" s="1">
        <v>-2.6636234819889069</v>
      </c>
    </row>
    <row r="25" spans="1:11" x14ac:dyDescent="0.25">
      <c r="A25" s="1">
        <v>25</v>
      </c>
      <c r="B25" s="1">
        <v>65</v>
      </c>
      <c r="C25" s="1">
        <v>2</v>
      </c>
      <c r="D25" s="1">
        <v>1</v>
      </c>
      <c r="E25" s="1" t="s">
        <v>14</v>
      </c>
      <c r="F25" s="1">
        <v>1</v>
      </c>
      <c r="G25" s="1">
        <v>1</v>
      </c>
      <c r="H25" s="1">
        <v>-1.6078496972719829</v>
      </c>
      <c r="I25" s="1">
        <v>1.1127965946992238</v>
      </c>
      <c r="J25" s="1">
        <v>1.0117515921592712</v>
      </c>
      <c r="K25" s="1">
        <v>-2.9793335138044008</v>
      </c>
    </row>
    <row r="26" spans="1:11" x14ac:dyDescent="0.25">
      <c r="A26" s="1">
        <v>26</v>
      </c>
      <c r="B26" s="1">
        <v>71</v>
      </c>
      <c r="C26" s="1">
        <v>2</v>
      </c>
      <c r="D26" s="1">
        <v>1</v>
      </c>
      <c r="E26" s="1" t="s">
        <v>13</v>
      </c>
      <c r="F26" s="1">
        <v>2</v>
      </c>
      <c r="G26" s="1">
        <v>1</v>
      </c>
      <c r="H26" s="1">
        <v>3.967746376991272</v>
      </c>
      <c r="I26" s="1">
        <v>5.1137152910232544</v>
      </c>
      <c r="J26" s="1">
        <v>1.1819858675201733</v>
      </c>
      <c r="K26" s="1">
        <v>0.58742962529261911</v>
      </c>
    </row>
    <row r="27" spans="1:11" x14ac:dyDescent="0.25">
      <c r="A27" s="1">
        <v>27</v>
      </c>
      <c r="B27" s="1">
        <v>69</v>
      </c>
      <c r="C27" s="1">
        <v>1</v>
      </c>
      <c r="D27" s="1">
        <v>1</v>
      </c>
      <c r="E27" s="1" t="s">
        <v>14</v>
      </c>
      <c r="F27" s="1">
        <v>1</v>
      </c>
      <c r="G27" s="1">
        <v>1</v>
      </c>
      <c r="H27" s="1">
        <v>-1.8481139938036601</v>
      </c>
      <c r="I27" s="1">
        <v>2.1209630072116852</v>
      </c>
      <c r="J27" s="1">
        <v>-5.2735296885172529</v>
      </c>
      <c r="K27" s="1">
        <v>-2.1826321383317313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05"/>
  <sheetViews>
    <sheetView zoomScale="85" zoomScaleNormal="85" workbookViewId="0">
      <selection activeCell="E12" sqref="A1:H105"/>
    </sheetView>
  </sheetViews>
  <sheetFormatPr defaultRowHeight="14" x14ac:dyDescent="0.25"/>
  <cols>
    <col min="5" max="5" width="17.90625" customWidth="1"/>
    <col min="7" max="7" width="8.7265625" customWidth="1"/>
    <col min="8" max="8" width="19.08984375" customWidth="1"/>
    <col min="10" max="23" width="8.7265625" customWidth="1"/>
    <col min="24" max="35" width="8.7265625" hidden="1" customWidth="1"/>
    <col min="36" max="36" width="8.7265625" customWidth="1"/>
  </cols>
  <sheetData>
    <row r="1" spans="1:39" x14ac:dyDescent="0.25">
      <c r="A1" s="1" t="s">
        <v>0</v>
      </c>
      <c r="B1" s="1" t="s">
        <v>1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25</v>
      </c>
      <c r="H1" s="1" t="s">
        <v>17</v>
      </c>
      <c r="I1" s="1"/>
      <c r="J1" s="1"/>
      <c r="K1" s="1"/>
      <c r="M1" s="1"/>
      <c r="O1" s="1"/>
      <c r="Q1" s="1"/>
      <c r="S1" s="1"/>
      <c r="U1" s="1"/>
      <c r="W1" s="1"/>
      <c r="X1">
        <v>16</v>
      </c>
      <c r="Y1" s="1">
        <v>17</v>
      </c>
      <c r="Z1">
        <v>18</v>
      </c>
      <c r="AA1" s="1">
        <v>19</v>
      </c>
      <c r="AB1">
        <v>20</v>
      </c>
      <c r="AC1" s="1">
        <v>21</v>
      </c>
      <c r="AD1">
        <v>22</v>
      </c>
      <c r="AE1" s="1">
        <v>23</v>
      </c>
      <c r="AF1">
        <v>24</v>
      </c>
      <c r="AG1" s="1">
        <v>25</v>
      </c>
      <c r="AH1">
        <v>26</v>
      </c>
      <c r="AI1" s="1">
        <v>27</v>
      </c>
    </row>
    <row r="2" spans="1:39" x14ac:dyDescent="0.25">
      <c r="A2" s="1">
        <v>1</v>
      </c>
      <c r="B2" s="1">
        <v>68</v>
      </c>
      <c r="C2" s="1">
        <v>1</v>
      </c>
      <c r="D2" s="1">
        <v>0</v>
      </c>
      <c r="E2" s="1" t="s">
        <v>19</v>
      </c>
      <c r="F2" s="1" t="s">
        <v>20</v>
      </c>
      <c r="G2">
        <v>-0.8022052372495333</v>
      </c>
      <c r="H2" s="1">
        <v>2</v>
      </c>
      <c r="X2">
        <v>1.393416702747345</v>
      </c>
      <c r="Y2">
        <v>5.4209199746449785</v>
      </c>
      <c r="Z2">
        <v>3.1664471061279378</v>
      </c>
      <c r="AA2">
        <v>-1.2056001474459965</v>
      </c>
      <c r="AB2">
        <v>-4.08640197912852</v>
      </c>
      <c r="AC2">
        <v>0.24067258089780807</v>
      </c>
      <c r="AD2">
        <v>8.9959006309509277</v>
      </c>
      <c r="AE2">
        <v>5.3181074435512228</v>
      </c>
      <c r="AF2">
        <v>3.6978201866149902</v>
      </c>
      <c r="AG2">
        <v>-1.6078496972719829</v>
      </c>
      <c r="AH2">
        <v>3.967746376991272</v>
      </c>
      <c r="AI2">
        <v>-1.8481139938036601</v>
      </c>
      <c r="AJ2" s="1"/>
      <c r="AK2" s="1"/>
      <c r="AL2" s="1"/>
      <c r="AM2" s="1"/>
    </row>
    <row r="3" spans="1:39" x14ac:dyDescent="0.25">
      <c r="A3" s="1">
        <v>1</v>
      </c>
      <c r="B3" s="1">
        <v>68</v>
      </c>
      <c r="C3" s="1">
        <v>1</v>
      </c>
      <c r="D3" s="1">
        <v>0</v>
      </c>
      <c r="E3" s="1" t="s">
        <v>19</v>
      </c>
      <c r="F3" s="1" t="s">
        <v>21</v>
      </c>
      <c r="G3">
        <v>-4.1484146758448333</v>
      </c>
      <c r="H3" s="1">
        <v>2</v>
      </c>
      <c r="X3">
        <v>0.24756570657094321</v>
      </c>
      <c r="Y3">
        <v>4.9536165793736773</v>
      </c>
      <c r="Z3">
        <v>1.5964809426416953</v>
      </c>
      <c r="AA3">
        <v>4.1225565274556475</v>
      </c>
      <c r="AB3">
        <v>-2.1716714911162853</v>
      </c>
      <c r="AC3">
        <v>3.4764880736668906</v>
      </c>
      <c r="AD3">
        <v>4.0493515729904175</v>
      </c>
      <c r="AE3">
        <v>3.7624579071998596</v>
      </c>
      <c r="AF3">
        <v>0.54463418573141098</v>
      </c>
      <c r="AG3">
        <v>1.1127965946992238</v>
      </c>
      <c r="AH3">
        <v>5.1137152910232544</v>
      </c>
      <c r="AI3">
        <v>2.1209630072116852</v>
      </c>
      <c r="AJ3" s="1"/>
      <c r="AK3" s="1"/>
      <c r="AL3" s="1"/>
      <c r="AM3" s="1"/>
    </row>
    <row r="4" spans="1:39" x14ac:dyDescent="0.25">
      <c r="A4" s="1">
        <v>1</v>
      </c>
      <c r="B4" s="1">
        <v>68</v>
      </c>
      <c r="C4" s="1">
        <v>1</v>
      </c>
      <c r="D4" s="1">
        <v>0</v>
      </c>
      <c r="E4" s="1" t="s">
        <v>19</v>
      </c>
      <c r="F4" s="1" t="s">
        <v>22</v>
      </c>
      <c r="G4">
        <v>-7.7550695737202959</v>
      </c>
      <c r="H4" s="1">
        <v>2</v>
      </c>
      <c r="X4">
        <v>-2.1282387574513755</v>
      </c>
      <c r="Y4">
        <v>2.5037049849828086</v>
      </c>
      <c r="Z4">
        <v>5.7098118464152021</v>
      </c>
      <c r="AA4">
        <v>-5.8517903089523315E-3</v>
      </c>
      <c r="AB4">
        <v>-3.1472865343093872</v>
      </c>
      <c r="AC4">
        <v>8.2424639860788975</v>
      </c>
      <c r="AD4">
        <v>8.2936935424804687</v>
      </c>
      <c r="AE4">
        <v>6.4372858919699993</v>
      </c>
      <c r="AF4">
        <v>-0.95333193490902579</v>
      </c>
      <c r="AG4">
        <v>1.0117515921592712</v>
      </c>
      <c r="AH4">
        <v>1.1819858675201733</v>
      </c>
      <c r="AI4">
        <v>-5.2735296885172529</v>
      </c>
      <c r="AJ4" s="1"/>
      <c r="AK4" s="1"/>
      <c r="AL4" s="1"/>
      <c r="AM4" s="1"/>
    </row>
    <row r="5" spans="1:39" x14ac:dyDescent="0.25">
      <c r="A5" s="1">
        <v>1</v>
      </c>
      <c r="B5" s="1">
        <v>68</v>
      </c>
      <c r="C5" s="1">
        <v>1</v>
      </c>
      <c r="D5" s="1">
        <v>0</v>
      </c>
      <c r="E5" s="1" t="s">
        <v>19</v>
      </c>
      <c r="F5" s="1" t="s">
        <v>23</v>
      </c>
      <c r="G5">
        <v>-1.2545630633831024</v>
      </c>
      <c r="H5" s="1">
        <v>2</v>
      </c>
      <c r="X5">
        <v>-1.3396751284599304</v>
      </c>
      <c r="Y5">
        <v>6.1206534703572588</v>
      </c>
      <c r="Z5">
        <v>-2.1894535788645348</v>
      </c>
      <c r="AA5">
        <v>0.34140772620836896</v>
      </c>
      <c r="AB5">
        <v>-2.4560110916694007</v>
      </c>
      <c r="AC5">
        <v>2.3706536293029785</v>
      </c>
      <c r="AD5">
        <v>5.8578232129414873</v>
      </c>
      <c r="AE5">
        <v>3.1081073681513467</v>
      </c>
      <c r="AF5">
        <v>-2.6636234819889069</v>
      </c>
      <c r="AG5">
        <v>-2.9793335138044008</v>
      </c>
      <c r="AH5">
        <v>0.58742962529261911</v>
      </c>
      <c r="AI5">
        <v>-2.1826321383317313</v>
      </c>
      <c r="AJ5" s="1"/>
      <c r="AK5" s="1"/>
      <c r="AL5" s="1"/>
      <c r="AM5" s="1"/>
    </row>
    <row r="6" spans="1:39" x14ac:dyDescent="0.25">
      <c r="A6" s="1">
        <v>3</v>
      </c>
      <c r="B6" s="1">
        <v>65</v>
      </c>
      <c r="C6" s="1">
        <v>1</v>
      </c>
      <c r="D6" s="1">
        <v>0</v>
      </c>
      <c r="E6" s="1" t="s">
        <v>19</v>
      </c>
      <c r="F6" s="1" t="s">
        <v>20</v>
      </c>
      <c r="G6">
        <v>-2.07015167673429</v>
      </c>
      <c r="H6" s="1">
        <v>2</v>
      </c>
    </row>
    <row r="7" spans="1:39" x14ac:dyDescent="0.25">
      <c r="A7" s="1">
        <v>3</v>
      </c>
      <c r="B7" s="1">
        <v>65</v>
      </c>
      <c r="C7" s="1">
        <v>1</v>
      </c>
      <c r="D7" s="1">
        <v>0</v>
      </c>
      <c r="E7" s="1" t="s">
        <v>19</v>
      </c>
      <c r="F7" s="1" t="s">
        <v>21</v>
      </c>
      <c r="G7">
        <v>-3.9393616076838227</v>
      </c>
      <c r="H7" s="1">
        <v>2</v>
      </c>
    </row>
    <row r="8" spans="1:39" x14ac:dyDescent="0.25">
      <c r="A8" s="1">
        <v>3</v>
      </c>
      <c r="B8" s="1">
        <v>65</v>
      </c>
      <c r="C8" s="1">
        <v>1</v>
      </c>
      <c r="D8" s="1">
        <v>0</v>
      </c>
      <c r="E8" s="1" t="s">
        <v>19</v>
      </c>
      <c r="F8" s="1" t="s">
        <v>22</v>
      </c>
      <c r="G8">
        <v>-7.3758445088234224</v>
      </c>
      <c r="H8" s="1">
        <v>2</v>
      </c>
    </row>
    <row r="9" spans="1:39" x14ac:dyDescent="0.25">
      <c r="A9" s="1">
        <v>3</v>
      </c>
      <c r="B9" s="1">
        <v>65</v>
      </c>
      <c r="C9" s="1">
        <v>1</v>
      </c>
      <c r="D9" s="1">
        <v>0</v>
      </c>
      <c r="E9" s="1" t="s">
        <v>19</v>
      </c>
      <c r="F9" s="1" t="s">
        <v>23</v>
      </c>
      <c r="G9">
        <v>0.3910425106684367</v>
      </c>
      <c r="H9" s="1">
        <v>2</v>
      </c>
    </row>
    <row r="10" spans="1:39" x14ac:dyDescent="0.25">
      <c r="A10" s="1">
        <v>4</v>
      </c>
      <c r="B10" s="1">
        <v>66</v>
      </c>
      <c r="C10" s="1">
        <v>0</v>
      </c>
      <c r="D10" s="1">
        <v>0</v>
      </c>
      <c r="E10" s="1" t="s">
        <v>19</v>
      </c>
      <c r="F10" s="1" t="s">
        <v>20</v>
      </c>
      <c r="G10">
        <v>-2.4053960939248404</v>
      </c>
      <c r="H10" s="1">
        <v>2</v>
      </c>
    </row>
    <row r="11" spans="1:39" x14ac:dyDescent="0.25">
      <c r="A11" s="1">
        <v>4</v>
      </c>
      <c r="B11" s="1">
        <v>66</v>
      </c>
      <c r="C11" s="1">
        <v>0</v>
      </c>
      <c r="D11" s="1">
        <v>0</v>
      </c>
      <c r="E11" s="1" t="s">
        <v>19</v>
      </c>
      <c r="F11" s="1" t="s">
        <v>21</v>
      </c>
      <c r="G11">
        <v>1.4303397011756898</v>
      </c>
      <c r="H11" s="1">
        <v>2</v>
      </c>
    </row>
    <row r="12" spans="1:39" x14ac:dyDescent="0.25">
      <c r="A12" s="1">
        <v>4</v>
      </c>
      <c r="B12" s="1">
        <v>66</v>
      </c>
      <c r="C12" s="1">
        <v>0</v>
      </c>
      <c r="D12" s="1">
        <v>0</v>
      </c>
      <c r="E12" s="1" t="s">
        <v>19</v>
      </c>
      <c r="F12" s="1" t="s">
        <v>22</v>
      </c>
      <c r="G12">
        <v>-3.9309257666269937</v>
      </c>
      <c r="H12" s="1">
        <v>2</v>
      </c>
    </row>
    <row r="13" spans="1:39" x14ac:dyDescent="0.25">
      <c r="A13" s="1">
        <v>4</v>
      </c>
      <c r="B13" s="1">
        <v>66</v>
      </c>
      <c r="C13" s="1">
        <v>0</v>
      </c>
      <c r="D13" s="1">
        <v>0</v>
      </c>
      <c r="E13" s="1" t="s">
        <v>19</v>
      </c>
      <c r="F13" s="1" t="s">
        <v>23</v>
      </c>
      <c r="G13">
        <v>1.4893154899279277</v>
      </c>
      <c r="H13" s="1">
        <v>2</v>
      </c>
    </row>
    <row r="14" spans="1:39" x14ac:dyDescent="0.25">
      <c r="A14" s="1">
        <v>5</v>
      </c>
      <c r="B14" s="1">
        <v>66</v>
      </c>
      <c r="C14" s="1">
        <v>1</v>
      </c>
      <c r="D14" s="1">
        <v>1</v>
      </c>
      <c r="E14" s="1" t="s">
        <v>19</v>
      </c>
      <c r="F14" s="1" t="s">
        <v>20</v>
      </c>
      <c r="G14">
        <v>-1.9980713650584221</v>
      </c>
      <c r="H14" s="1">
        <v>2</v>
      </c>
    </row>
    <row r="15" spans="1:39" x14ac:dyDescent="0.25">
      <c r="A15" s="1">
        <v>5</v>
      </c>
      <c r="B15" s="1">
        <v>66</v>
      </c>
      <c r="C15" s="1">
        <v>1</v>
      </c>
      <c r="D15" s="1">
        <v>1</v>
      </c>
      <c r="E15" s="1" t="s">
        <v>19</v>
      </c>
      <c r="F15" s="1" t="s">
        <v>21</v>
      </c>
      <c r="G15">
        <v>5.7963300496339798E-3</v>
      </c>
      <c r="H15" s="1">
        <v>2</v>
      </c>
    </row>
    <row r="16" spans="1:39" x14ac:dyDescent="0.25">
      <c r="A16" s="1">
        <v>5</v>
      </c>
      <c r="B16" s="1">
        <v>66</v>
      </c>
      <c r="C16" s="1">
        <v>1</v>
      </c>
      <c r="D16" s="1">
        <v>1</v>
      </c>
      <c r="E16" s="1" t="s">
        <v>19</v>
      </c>
      <c r="F16" s="1" t="s">
        <v>22</v>
      </c>
      <c r="G16">
        <v>-1.155624936024348</v>
      </c>
      <c r="H16" s="1">
        <v>2</v>
      </c>
    </row>
    <row r="17" spans="1:8" x14ac:dyDescent="0.25">
      <c r="A17" s="1">
        <v>5</v>
      </c>
      <c r="B17" s="1">
        <v>66</v>
      </c>
      <c r="C17" s="1">
        <v>1</v>
      </c>
      <c r="D17" s="1">
        <v>1</v>
      </c>
      <c r="E17" s="1" t="s">
        <v>19</v>
      </c>
      <c r="F17" s="1" t="s">
        <v>23</v>
      </c>
      <c r="G17">
        <v>-2.0956443479905524</v>
      </c>
      <c r="H17" s="1">
        <v>2</v>
      </c>
    </row>
    <row r="18" spans="1:8" x14ac:dyDescent="0.25">
      <c r="A18" s="1">
        <v>6</v>
      </c>
      <c r="B18" s="1">
        <v>70</v>
      </c>
      <c r="C18" s="1">
        <v>1</v>
      </c>
      <c r="D18" s="1">
        <v>1</v>
      </c>
      <c r="E18" s="1" t="s">
        <v>24</v>
      </c>
      <c r="F18" s="1" t="s">
        <v>20</v>
      </c>
      <c r="G18">
        <v>-0.89304816971222556</v>
      </c>
      <c r="H18" s="1">
        <v>1</v>
      </c>
    </row>
    <row r="19" spans="1:8" x14ac:dyDescent="0.25">
      <c r="A19" s="1">
        <v>6</v>
      </c>
      <c r="B19" s="1">
        <v>70</v>
      </c>
      <c r="C19" s="1">
        <v>1</v>
      </c>
      <c r="D19" s="1">
        <v>1</v>
      </c>
      <c r="E19" s="1" t="s">
        <v>24</v>
      </c>
      <c r="F19" s="1" t="s">
        <v>21</v>
      </c>
      <c r="G19">
        <v>-1.4467538396517436</v>
      </c>
      <c r="H19" s="1">
        <v>1</v>
      </c>
    </row>
    <row r="20" spans="1:8" x14ac:dyDescent="0.25">
      <c r="A20" s="1">
        <v>6</v>
      </c>
      <c r="B20" s="1">
        <v>70</v>
      </c>
      <c r="C20" s="1">
        <v>1</v>
      </c>
      <c r="D20" s="1">
        <v>1</v>
      </c>
      <c r="E20" s="1" t="s">
        <v>24</v>
      </c>
      <c r="F20" s="1" t="s">
        <v>22</v>
      </c>
      <c r="G20">
        <v>-4.386048873265584</v>
      </c>
      <c r="H20" s="1">
        <v>1</v>
      </c>
    </row>
    <row r="21" spans="1:8" x14ac:dyDescent="0.25">
      <c r="A21" s="1">
        <v>6</v>
      </c>
      <c r="B21" s="1">
        <v>70</v>
      </c>
      <c r="C21" s="1">
        <v>1</v>
      </c>
      <c r="D21" s="1">
        <v>1</v>
      </c>
      <c r="E21" s="1" t="s">
        <v>24</v>
      </c>
      <c r="F21" s="1" t="s">
        <v>23</v>
      </c>
      <c r="G21">
        <v>-6.0717070500055952</v>
      </c>
      <c r="H21" s="1">
        <v>1</v>
      </c>
    </row>
    <row r="22" spans="1:8" x14ac:dyDescent="0.25">
      <c r="A22" s="1">
        <v>7</v>
      </c>
      <c r="B22" s="1">
        <v>65</v>
      </c>
      <c r="C22" s="1">
        <v>1</v>
      </c>
      <c r="D22" s="1">
        <v>0</v>
      </c>
      <c r="E22" s="1" t="s">
        <v>24</v>
      </c>
      <c r="F22" s="1" t="s">
        <v>20</v>
      </c>
      <c r="G22">
        <v>1.7612633854150772</v>
      </c>
      <c r="H22" s="1">
        <v>1</v>
      </c>
    </row>
    <row r="23" spans="1:8" x14ac:dyDescent="0.25">
      <c r="A23" s="1">
        <v>7</v>
      </c>
      <c r="B23" s="1">
        <v>65</v>
      </c>
      <c r="C23" s="1">
        <v>1</v>
      </c>
      <c r="D23" s="1">
        <v>0</v>
      </c>
      <c r="E23" s="1" t="s">
        <v>24</v>
      </c>
      <c r="F23" s="1" t="s">
        <v>21</v>
      </c>
      <c r="G23">
        <v>-2.0013019839922586</v>
      </c>
      <c r="H23" s="1">
        <v>1</v>
      </c>
    </row>
    <row r="24" spans="1:8" x14ac:dyDescent="0.25">
      <c r="A24" s="1">
        <v>7</v>
      </c>
      <c r="B24" s="1">
        <v>65</v>
      </c>
      <c r="C24" s="1">
        <v>1</v>
      </c>
      <c r="D24" s="1">
        <v>0</v>
      </c>
      <c r="E24" s="1" t="s">
        <v>24</v>
      </c>
      <c r="F24" s="1" t="s">
        <v>22</v>
      </c>
      <c r="G24">
        <v>-5.639089822769165</v>
      </c>
      <c r="H24" s="1">
        <v>1</v>
      </c>
    </row>
    <row r="25" spans="1:8" x14ac:dyDescent="0.25">
      <c r="A25" s="1">
        <v>7</v>
      </c>
      <c r="B25" s="1">
        <v>65</v>
      </c>
      <c r="C25" s="1">
        <v>1</v>
      </c>
      <c r="D25" s="1">
        <v>0</v>
      </c>
      <c r="E25" s="1" t="s">
        <v>24</v>
      </c>
      <c r="F25" s="1" t="s">
        <v>23</v>
      </c>
      <c r="G25">
        <v>1.4012972336759171</v>
      </c>
      <c r="H25" s="1">
        <v>1</v>
      </c>
    </row>
    <row r="26" spans="1:8" x14ac:dyDescent="0.25">
      <c r="A26" s="1">
        <v>8</v>
      </c>
      <c r="B26" s="1">
        <v>76</v>
      </c>
      <c r="C26" s="1">
        <v>0</v>
      </c>
      <c r="D26" s="1">
        <v>0</v>
      </c>
      <c r="E26" s="1" t="s">
        <v>19</v>
      </c>
      <c r="F26" s="1" t="s">
        <v>20</v>
      </c>
      <c r="G26">
        <v>3.376539409160614</v>
      </c>
      <c r="H26" s="1">
        <v>2</v>
      </c>
    </row>
    <row r="27" spans="1:8" x14ac:dyDescent="0.25">
      <c r="A27" s="1">
        <v>8</v>
      </c>
      <c r="B27" s="1">
        <v>76</v>
      </c>
      <c r="C27" s="1">
        <v>0</v>
      </c>
      <c r="D27" s="1">
        <v>0</v>
      </c>
      <c r="E27" s="1" t="s">
        <v>19</v>
      </c>
      <c r="F27" s="1" t="s">
        <v>21</v>
      </c>
      <c r="G27">
        <v>-1.6891098866860073</v>
      </c>
      <c r="H27" s="1">
        <v>2</v>
      </c>
    </row>
    <row r="28" spans="1:8" x14ac:dyDescent="0.25">
      <c r="A28" s="1">
        <v>8</v>
      </c>
      <c r="B28" s="1">
        <v>76</v>
      </c>
      <c r="C28" s="1">
        <v>0</v>
      </c>
      <c r="D28" s="1">
        <v>0</v>
      </c>
      <c r="E28" s="1" t="s">
        <v>19</v>
      </c>
      <c r="F28" s="1" t="s">
        <v>22</v>
      </c>
      <c r="G28">
        <v>-2.6836061676343284</v>
      </c>
      <c r="H28" s="1">
        <v>2</v>
      </c>
    </row>
    <row r="29" spans="1:8" x14ac:dyDescent="0.25">
      <c r="A29" s="1">
        <v>8</v>
      </c>
      <c r="B29" s="1">
        <v>76</v>
      </c>
      <c r="C29" s="1">
        <v>0</v>
      </c>
      <c r="D29" s="1">
        <v>0</v>
      </c>
      <c r="E29" s="1" t="s">
        <v>19</v>
      </c>
      <c r="F29" s="1" t="s">
        <v>23</v>
      </c>
      <c r="G29">
        <v>4.7855982780456543</v>
      </c>
      <c r="H29" s="1">
        <v>2</v>
      </c>
    </row>
    <row r="30" spans="1:8" x14ac:dyDescent="0.25">
      <c r="A30" s="1">
        <v>9</v>
      </c>
      <c r="B30" s="1">
        <v>69</v>
      </c>
      <c r="C30" s="1">
        <v>0</v>
      </c>
      <c r="D30" s="1">
        <v>0</v>
      </c>
      <c r="E30" s="1" t="s">
        <v>24</v>
      </c>
      <c r="F30" s="1" t="s">
        <v>20</v>
      </c>
      <c r="G30">
        <v>1.7334667419393857</v>
      </c>
      <c r="H30" s="1">
        <v>1</v>
      </c>
    </row>
    <row r="31" spans="1:8" x14ac:dyDescent="0.25">
      <c r="A31" s="1">
        <v>9</v>
      </c>
      <c r="B31" s="1">
        <v>69</v>
      </c>
      <c r="C31" s="1">
        <v>0</v>
      </c>
      <c r="D31" s="1">
        <v>0</v>
      </c>
      <c r="E31" s="1" t="s">
        <v>24</v>
      </c>
      <c r="F31" s="1" t="s">
        <v>21</v>
      </c>
      <c r="G31">
        <v>1.6223526149988174</v>
      </c>
      <c r="H31" s="1">
        <v>1</v>
      </c>
    </row>
    <row r="32" spans="1:8" x14ac:dyDescent="0.25">
      <c r="A32" s="1">
        <v>9</v>
      </c>
      <c r="B32" s="1">
        <v>69</v>
      </c>
      <c r="C32" s="1">
        <v>0</v>
      </c>
      <c r="D32" s="1">
        <v>0</v>
      </c>
      <c r="E32" s="1" t="s">
        <v>24</v>
      </c>
      <c r="F32" s="1" t="s">
        <v>22</v>
      </c>
      <c r="G32">
        <v>5.5526440143585205</v>
      </c>
      <c r="H32" s="1">
        <v>1</v>
      </c>
    </row>
    <row r="33" spans="1:8" x14ac:dyDescent="0.25">
      <c r="A33" s="1">
        <v>9</v>
      </c>
      <c r="B33" s="1">
        <v>69</v>
      </c>
      <c r="C33" s="1">
        <v>0</v>
      </c>
      <c r="D33" s="1">
        <v>0</v>
      </c>
      <c r="E33" s="1" t="s">
        <v>24</v>
      </c>
      <c r="F33" s="1" t="s">
        <v>23</v>
      </c>
      <c r="G33">
        <v>3.0979952017466226</v>
      </c>
      <c r="H33" s="1">
        <v>1</v>
      </c>
    </row>
    <row r="34" spans="1:8" x14ac:dyDescent="0.25">
      <c r="A34" s="1">
        <v>10</v>
      </c>
      <c r="B34" s="1">
        <v>69</v>
      </c>
      <c r="C34" s="1">
        <v>0</v>
      </c>
      <c r="D34" s="1">
        <v>0</v>
      </c>
      <c r="E34" s="1" t="s">
        <v>19</v>
      </c>
      <c r="F34" s="1" t="s">
        <v>20</v>
      </c>
      <c r="G34">
        <v>2.2392609914143882</v>
      </c>
      <c r="H34" s="1">
        <v>2</v>
      </c>
    </row>
    <row r="35" spans="1:8" x14ac:dyDescent="0.25">
      <c r="A35" s="1">
        <v>10</v>
      </c>
      <c r="B35" s="1">
        <v>69</v>
      </c>
      <c r="C35" s="1">
        <v>0</v>
      </c>
      <c r="D35" s="1">
        <v>0</v>
      </c>
      <c r="E35" s="1" t="s">
        <v>19</v>
      </c>
      <c r="F35" s="1" t="s">
        <v>21</v>
      </c>
      <c r="G35">
        <v>2.1969366172949472</v>
      </c>
      <c r="H35" s="1">
        <v>2</v>
      </c>
    </row>
    <row r="36" spans="1:8" x14ac:dyDescent="0.25">
      <c r="A36" s="1">
        <v>10</v>
      </c>
      <c r="B36" s="1">
        <v>69</v>
      </c>
      <c r="C36" s="1">
        <v>0</v>
      </c>
      <c r="D36" s="1">
        <v>0</v>
      </c>
      <c r="E36" s="1" t="s">
        <v>19</v>
      </c>
      <c r="F36" s="1" t="s">
        <v>22</v>
      </c>
      <c r="G36">
        <v>0.59900482992331183</v>
      </c>
      <c r="H36" s="1">
        <v>2</v>
      </c>
    </row>
    <row r="37" spans="1:8" x14ac:dyDescent="0.25">
      <c r="A37" s="1">
        <v>10</v>
      </c>
      <c r="B37" s="1">
        <v>69</v>
      </c>
      <c r="C37" s="1">
        <v>0</v>
      </c>
      <c r="D37" s="1">
        <v>0</v>
      </c>
      <c r="E37" s="1" t="s">
        <v>19</v>
      </c>
      <c r="F37" s="1" t="s">
        <v>23</v>
      </c>
      <c r="G37">
        <v>2.0256947477658591</v>
      </c>
      <c r="H37" s="1">
        <v>2</v>
      </c>
    </row>
    <row r="38" spans="1:8" x14ac:dyDescent="0.25">
      <c r="A38" s="1">
        <v>11</v>
      </c>
      <c r="B38" s="1">
        <v>68</v>
      </c>
      <c r="C38" s="1">
        <v>1</v>
      </c>
      <c r="D38" s="1">
        <v>0</v>
      </c>
      <c r="E38" s="1" t="s">
        <v>19</v>
      </c>
      <c r="F38" s="1" t="s">
        <v>20</v>
      </c>
      <c r="G38">
        <v>2.9767948786417642</v>
      </c>
      <c r="H38" s="1">
        <v>2</v>
      </c>
    </row>
    <row r="39" spans="1:8" x14ac:dyDescent="0.25">
      <c r="A39" s="1">
        <v>11</v>
      </c>
      <c r="B39" s="1">
        <v>68</v>
      </c>
      <c r="C39" s="1">
        <v>1</v>
      </c>
      <c r="D39" s="1">
        <v>0</v>
      </c>
      <c r="E39" s="1" t="s">
        <v>19</v>
      </c>
      <c r="F39" s="1" t="s">
        <v>21</v>
      </c>
      <c r="G39">
        <v>0.73814490437507629</v>
      </c>
      <c r="H39" s="1">
        <v>2</v>
      </c>
    </row>
    <row r="40" spans="1:8" x14ac:dyDescent="0.25">
      <c r="A40" s="1">
        <v>11</v>
      </c>
      <c r="B40" s="1">
        <v>68</v>
      </c>
      <c r="C40" s="1">
        <v>1</v>
      </c>
      <c r="D40" s="1">
        <v>0</v>
      </c>
      <c r="E40" s="1" t="s">
        <v>19</v>
      </c>
      <c r="F40" s="1" t="s">
        <v>22</v>
      </c>
      <c r="G40">
        <v>-1.4599848041931789</v>
      </c>
      <c r="H40" s="1">
        <v>2</v>
      </c>
    </row>
    <row r="41" spans="1:8" x14ac:dyDescent="0.25">
      <c r="A41" s="1">
        <v>11</v>
      </c>
      <c r="B41" s="1">
        <v>68</v>
      </c>
      <c r="C41" s="1">
        <v>1</v>
      </c>
      <c r="D41" s="1">
        <v>0</v>
      </c>
      <c r="E41" s="1" t="s">
        <v>19</v>
      </c>
      <c r="F41" s="1" t="s">
        <v>23</v>
      </c>
      <c r="G41">
        <v>-1.5843749046325684</v>
      </c>
      <c r="H41" s="1">
        <v>2</v>
      </c>
    </row>
    <row r="42" spans="1:8" x14ac:dyDescent="0.25">
      <c r="A42" s="1">
        <v>12</v>
      </c>
      <c r="B42" s="1">
        <v>79</v>
      </c>
      <c r="C42" s="1">
        <v>0</v>
      </c>
      <c r="D42" s="1">
        <v>1</v>
      </c>
      <c r="E42" s="1" t="s">
        <v>19</v>
      </c>
      <c r="F42" s="1" t="s">
        <v>20</v>
      </c>
      <c r="G42">
        <v>2.4086769819259644</v>
      </c>
      <c r="H42" s="1">
        <v>2</v>
      </c>
    </row>
    <row r="43" spans="1:8" x14ac:dyDescent="0.25">
      <c r="A43" s="1">
        <v>12</v>
      </c>
      <c r="B43" s="1">
        <v>79</v>
      </c>
      <c r="C43" s="1">
        <v>0</v>
      </c>
      <c r="D43" s="1">
        <v>1</v>
      </c>
      <c r="E43" s="1" t="s">
        <v>19</v>
      </c>
      <c r="F43" s="1" t="s">
        <v>21</v>
      </c>
      <c r="G43">
        <v>2.3565218448638916</v>
      </c>
      <c r="H43" s="1">
        <v>2</v>
      </c>
    </row>
    <row r="44" spans="1:8" x14ac:dyDescent="0.25">
      <c r="A44" s="1">
        <v>12</v>
      </c>
      <c r="B44" s="1">
        <v>79</v>
      </c>
      <c r="C44" s="1">
        <v>0</v>
      </c>
      <c r="D44" s="1">
        <v>1</v>
      </c>
      <c r="E44" s="1" t="s">
        <v>19</v>
      </c>
      <c r="F44" s="1" t="s">
        <v>22</v>
      </c>
      <c r="G44">
        <v>1.6360747913519542</v>
      </c>
      <c r="H44" s="1">
        <v>2</v>
      </c>
    </row>
    <row r="45" spans="1:8" x14ac:dyDescent="0.25">
      <c r="A45" s="1">
        <v>12</v>
      </c>
      <c r="B45" s="1">
        <v>79</v>
      </c>
      <c r="C45" s="1">
        <v>0</v>
      </c>
      <c r="D45" s="1">
        <v>1</v>
      </c>
      <c r="E45" s="1" t="s">
        <v>19</v>
      </c>
      <c r="F45" s="1" t="s">
        <v>23</v>
      </c>
      <c r="G45">
        <v>2.3472966949144998</v>
      </c>
      <c r="H45" s="1">
        <v>2</v>
      </c>
    </row>
    <row r="46" spans="1:8" x14ac:dyDescent="0.25">
      <c r="A46" s="1">
        <v>13</v>
      </c>
      <c r="B46" s="1">
        <v>66</v>
      </c>
      <c r="C46" s="1">
        <v>1</v>
      </c>
      <c r="D46" s="1">
        <v>0</v>
      </c>
      <c r="E46" s="1" t="s">
        <v>19</v>
      </c>
      <c r="F46" s="1" t="s">
        <v>20</v>
      </c>
      <c r="G46">
        <v>-2.5791567464669547</v>
      </c>
      <c r="H46" s="1">
        <v>2</v>
      </c>
    </row>
    <row r="47" spans="1:8" x14ac:dyDescent="0.25">
      <c r="A47" s="1">
        <v>13</v>
      </c>
      <c r="B47" s="1">
        <v>66</v>
      </c>
      <c r="C47" s="1">
        <v>1</v>
      </c>
      <c r="D47" s="1">
        <v>0</v>
      </c>
      <c r="E47" s="1" t="s">
        <v>19</v>
      </c>
      <c r="F47" s="1" t="s">
        <v>21</v>
      </c>
      <c r="G47">
        <v>0.91438073913256324</v>
      </c>
      <c r="H47" s="1">
        <v>2</v>
      </c>
    </row>
    <row r="48" spans="1:8" x14ac:dyDescent="0.25">
      <c r="A48" s="1">
        <v>13</v>
      </c>
      <c r="B48" s="1">
        <v>66</v>
      </c>
      <c r="C48" s="1">
        <v>1</v>
      </c>
      <c r="D48" s="1">
        <v>0</v>
      </c>
      <c r="E48" s="1" t="s">
        <v>19</v>
      </c>
      <c r="F48" s="1" t="s">
        <v>22</v>
      </c>
      <c r="G48">
        <v>-6.80224727632271</v>
      </c>
      <c r="H48" s="1">
        <v>2</v>
      </c>
    </row>
    <row r="49" spans="1:8" x14ac:dyDescent="0.25">
      <c r="A49" s="1">
        <v>13</v>
      </c>
      <c r="B49" s="1">
        <v>66</v>
      </c>
      <c r="C49" s="1">
        <v>1</v>
      </c>
      <c r="D49" s="1">
        <v>0</v>
      </c>
      <c r="E49" s="1" t="s">
        <v>19</v>
      </c>
      <c r="F49" s="1" t="s">
        <v>23</v>
      </c>
      <c r="G49">
        <v>-5.3949912389119463</v>
      </c>
      <c r="H49" s="1">
        <v>2</v>
      </c>
    </row>
    <row r="50" spans="1:8" x14ac:dyDescent="0.25">
      <c r="A50" s="1">
        <v>14</v>
      </c>
      <c r="B50" s="1">
        <v>68</v>
      </c>
      <c r="C50" s="1">
        <v>1</v>
      </c>
      <c r="D50" s="1">
        <v>0</v>
      </c>
      <c r="E50" s="1" t="s">
        <v>19</v>
      </c>
      <c r="F50" s="1" t="s">
        <v>20</v>
      </c>
      <c r="G50">
        <v>7.8579048315684004</v>
      </c>
      <c r="H50" s="1">
        <v>2</v>
      </c>
    </row>
    <row r="51" spans="1:8" x14ac:dyDescent="0.25">
      <c r="A51" s="1">
        <v>14</v>
      </c>
      <c r="B51" s="1">
        <v>68</v>
      </c>
      <c r="C51" s="1">
        <v>1</v>
      </c>
      <c r="D51" s="1">
        <v>0</v>
      </c>
      <c r="E51" s="1" t="s">
        <v>19</v>
      </c>
      <c r="F51" s="1" t="s">
        <v>21</v>
      </c>
      <c r="G51">
        <v>7.4822476704915362</v>
      </c>
      <c r="H51" s="1">
        <v>2</v>
      </c>
    </row>
    <row r="52" spans="1:8" x14ac:dyDescent="0.25">
      <c r="A52" s="1">
        <v>14</v>
      </c>
      <c r="B52" s="1">
        <v>68</v>
      </c>
      <c r="C52" s="1">
        <v>1</v>
      </c>
      <c r="D52" s="1">
        <v>0</v>
      </c>
      <c r="E52" s="1" t="s">
        <v>19</v>
      </c>
      <c r="F52" s="1" t="s">
        <v>22</v>
      </c>
      <c r="G52">
        <v>6.2365553379058838</v>
      </c>
      <c r="H52" s="1">
        <v>2</v>
      </c>
    </row>
    <row r="53" spans="1:8" x14ac:dyDescent="0.25">
      <c r="A53" s="1">
        <v>14</v>
      </c>
      <c r="B53" s="1">
        <v>68</v>
      </c>
      <c r="C53" s="1">
        <v>1</v>
      </c>
      <c r="D53" s="1">
        <v>0</v>
      </c>
      <c r="E53" s="1" t="s">
        <v>19</v>
      </c>
      <c r="F53" s="1" t="s">
        <v>23</v>
      </c>
      <c r="G53">
        <v>6.1730193694432574</v>
      </c>
      <c r="H53" s="1">
        <v>2</v>
      </c>
    </row>
    <row r="54" spans="1:8" x14ac:dyDescent="0.25">
      <c r="A54" s="1">
        <v>15</v>
      </c>
      <c r="B54" s="1">
        <v>56</v>
      </c>
      <c r="C54" s="1">
        <v>1</v>
      </c>
      <c r="D54" s="1">
        <v>0</v>
      </c>
      <c r="E54" s="1" t="s">
        <v>19</v>
      </c>
      <c r="F54" s="1" t="s">
        <v>20</v>
      </c>
      <c r="G54">
        <v>-6.4064592520395918</v>
      </c>
      <c r="H54" s="1">
        <v>2</v>
      </c>
    </row>
    <row r="55" spans="1:8" x14ac:dyDescent="0.25">
      <c r="A55" s="1">
        <v>15</v>
      </c>
      <c r="B55" s="1">
        <v>56</v>
      </c>
      <c r="C55" s="1">
        <v>1</v>
      </c>
      <c r="D55" s="1">
        <v>0</v>
      </c>
      <c r="E55" s="1" t="s">
        <v>19</v>
      </c>
      <c r="F55" s="1" t="s">
        <v>21</v>
      </c>
      <c r="G55">
        <v>-7.6124788125356035</v>
      </c>
      <c r="H55" s="1">
        <v>2</v>
      </c>
    </row>
    <row r="56" spans="1:8" x14ac:dyDescent="0.25">
      <c r="A56" s="1">
        <v>15</v>
      </c>
      <c r="B56" s="1">
        <v>56</v>
      </c>
      <c r="C56" s="1">
        <v>1</v>
      </c>
      <c r="D56" s="1">
        <v>0</v>
      </c>
      <c r="E56" s="1" t="s">
        <v>19</v>
      </c>
      <c r="F56" s="1" t="s">
        <v>22</v>
      </c>
      <c r="G56">
        <v>-6.3245464563369751</v>
      </c>
      <c r="H56" s="1">
        <v>2</v>
      </c>
    </row>
    <row r="57" spans="1:8" x14ac:dyDescent="0.25">
      <c r="A57" s="1">
        <v>15</v>
      </c>
      <c r="B57" s="1">
        <v>56</v>
      </c>
      <c r="C57" s="1">
        <v>1</v>
      </c>
      <c r="D57" s="1">
        <v>0</v>
      </c>
      <c r="E57" s="1" t="s">
        <v>19</v>
      </c>
      <c r="F57" s="1" t="s">
        <v>23</v>
      </c>
      <c r="G57">
        <v>-3.4489742008348308</v>
      </c>
      <c r="H57" s="1">
        <v>2</v>
      </c>
    </row>
    <row r="58" spans="1:8" x14ac:dyDescent="0.25">
      <c r="A58" s="1">
        <v>16</v>
      </c>
      <c r="B58" s="1">
        <v>75</v>
      </c>
      <c r="C58" s="1">
        <v>1</v>
      </c>
      <c r="D58" s="1">
        <v>1</v>
      </c>
      <c r="E58" s="1" t="s">
        <v>24</v>
      </c>
      <c r="F58" s="1" t="s">
        <v>20</v>
      </c>
      <c r="G58">
        <v>1.393416702747345</v>
      </c>
      <c r="H58" s="1">
        <v>1</v>
      </c>
    </row>
    <row r="59" spans="1:8" x14ac:dyDescent="0.25">
      <c r="A59" s="1">
        <v>16</v>
      </c>
      <c r="B59" s="1">
        <v>75</v>
      </c>
      <c r="C59" s="1">
        <v>1</v>
      </c>
      <c r="D59" s="1">
        <v>1</v>
      </c>
      <c r="E59" s="1" t="s">
        <v>24</v>
      </c>
      <c r="F59" s="1" t="s">
        <v>21</v>
      </c>
      <c r="G59">
        <v>0.24756570657094321</v>
      </c>
      <c r="H59" s="1">
        <v>1</v>
      </c>
    </row>
    <row r="60" spans="1:8" x14ac:dyDescent="0.25">
      <c r="A60" s="1">
        <v>16</v>
      </c>
      <c r="B60" s="1">
        <v>75</v>
      </c>
      <c r="C60" s="1">
        <v>1</v>
      </c>
      <c r="D60" s="1">
        <v>1</v>
      </c>
      <c r="E60" s="1" t="s">
        <v>24</v>
      </c>
      <c r="F60" s="1" t="s">
        <v>22</v>
      </c>
      <c r="G60">
        <v>-2.1282387574513755</v>
      </c>
      <c r="H60" s="1">
        <v>1</v>
      </c>
    </row>
    <row r="61" spans="1:8" x14ac:dyDescent="0.25">
      <c r="A61" s="1">
        <v>16</v>
      </c>
      <c r="B61" s="1">
        <v>75</v>
      </c>
      <c r="C61" s="1">
        <v>1</v>
      </c>
      <c r="D61" s="1">
        <v>1</v>
      </c>
      <c r="E61" s="1" t="s">
        <v>24</v>
      </c>
      <c r="F61" s="1" t="s">
        <v>23</v>
      </c>
      <c r="G61">
        <v>-1.3396751284599304</v>
      </c>
      <c r="H61" s="1">
        <v>1</v>
      </c>
    </row>
    <row r="62" spans="1:8" x14ac:dyDescent="0.25">
      <c r="A62" s="1">
        <v>17</v>
      </c>
      <c r="B62" s="1">
        <v>70</v>
      </c>
      <c r="C62" s="1">
        <v>1</v>
      </c>
      <c r="D62" s="1">
        <v>0</v>
      </c>
      <c r="E62" s="1" t="s">
        <v>24</v>
      </c>
      <c r="F62" s="1" t="s">
        <v>20</v>
      </c>
      <c r="G62">
        <v>5.4209199746449785</v>
      </c>
      <c r="H62" s="1">
        <v>1</v>
      </c>
    </row>
    <row r="63" spans="1:8" x14ac:dyDescent="0.25">
      <c r="A63" s="1">
        <v>17</v>
      </c>
      <c r="B63" s="1">
        <v>70</v>
      </c>
      <c r="C63" s="1">
        <v>1</v>
      </c>
      <c r="D63" s="1">
        <v>0</v>
      </c>
      <c r="E63" s="1" t="s">
        <v>24</v>
      </c>
      <c r="F63" s="1" t="s">
        <v>21</v>
      </c>
      <c r="G63">
        <v>4.9536165793736773</v>
      </c>
      <c r="H63" s="1">
        <v>1</v>
      </c>
    </row>
    <row r="64" spans="1:8" x14ac:dyDescent="0.25">
      <c r="A64" s="1">
        <v>17</v>
      </c>
      <c r="B64" s="1">
        <v>70</v>
      </c>
      <c r="C64" s="1">
        <v>1</v>
      </c>
      <c r="D64" s="1">
        <v>0</v>
      </c>
      <c r="E64" s="1" t="s">
        <v>24</v>
      </c>
      <c r="F64" s="1" t="s">
        <v>22</v>
      </c>
      <c r="G64">
        <v>2.5037049849828086</v>
      </c>
      <c r="H64" s="1">
        <v>1</v>
      </c>
    </row>
    <row r="65" spans="1:8" x14ac:dyDescent="0.25">
      <c r="A65" s="1">
        <v>17</v>
      </c>
      <c r="B65" s="1">
        <v>70</v>
      </c>
      <c r="C65" s="1">
        <v>1</v>
      </c>
      <c r="D65" s="1">
        <v>0</v>
      </c>
      <c r="E65" s="1" t="s">
        <v>24</v>
      </c>
      <c r="F65" s="1" t="s">
        <v>23</v>
      </c>
      <c r="G65">
        <v>6.1206534703572588</v>
      </c>
      <c r="H65" s="1">
        <v>1</v>
      </c>
    </row>
    <row r="66" spans="1:8" x14ac:dyDescent="0.25">
      <c r="A66" s="1">
        <v>18</v>
      </c>
      <c r="B66" s="1">
        <v>77</v>
      </c>
      <c r="C66" s="1">
        <v>0</v>
      </c>
      <c r="D66" s="1">
        <v>0</v>
      </c>
      <c r="E66" s="1" t="s">
        <v>24</v>
      </c>
      <c r="F66" s="1" t="s">
        <v>20</v>
      </c>
      <c r="G66">
        <v>3.1664471061279378</v>
      </c>
      <c r="H66" s="1">
        <v>1</v>
      </c>
    </row>
    <row r="67" spans="1:8" x14ac:dyDescent="0.25">
      <c r="A67" s="1">
        <v>18</v>
      </c>
      <c r="B67" s="1">
        <v>77</v>
      </c>
      <c r="C67" s="1">
        <v>0</v>
      </c>
      <c r="D67" s="1">
        <v>0</v>
      </c>
      <c r="E67" s="1" t="s">
        <v>24</v>
      </c>
      <c r="F67" s="1" t="s">
        <v>21</v>
      </c>
      <c r="G67">
        <v>1.5964809426416953</v>
      </c>
      <c r="H67" s="1">
        <v>1</v>
      </c>
    </row>
    <row r="68" spans="1:8" x14ac:dyDescent="0.25">
      <c r="A68" s="1">
        <v>18</v>
      </c>
      <c r="B68" s="1">
        <v>77</v>
      </c>
      <c r="C68" s="1">
        <v>0</v>
      </c>
      <c r="D68" s="1">
        <v>0</v>
      </c>
      <c r="E68" s="1" t="s">
        <v>24</v>
      </c>
      <c r="F68" s="1" t="s">
        <v>22</v>
      </c>
      <c r="G68">
        <v>5.7098118464152021</v>
      </c>
      <c r="H68" s="1">
        <v>1</v>
      </c>
    </row>
    <row r="69" spans="1:8" x14ac:dyDescent="0.25">
      <c r="A69" s="1">
        <v>18</v>
      </c>
      <c r="B69" s="1">
        <v>77</v>
      </c>
      <c r="C69" s="1">
        <v>0</v>
      </c>
      <c r="D69" s="1">
        <v>0</v>
      </c>
      <c r="E69" s="1" t="s">
        <v>24</v>
      </c>
      <c r="F69" s="1" t="s">
        <v>23</v>
      </c>
      <c r="G69">
        <v>-2.1894535788645348</v>
      </c>
      <c r="H69" s="1">
        <v>1</v>
      </c>
    </row>
    <row r="70" spans="1:8" x14ac:dyDescent="0.25">
      <c r="A70" s="1">
        <v>19</v>
      </c>
      <c r="B70" s="1">
        <v>68</v>
      </c>
      <c r="C70" s="1">
        <v>0</v>
      </c>
      <c r="D70" s="1">
        <v>0</v>
      </c>
      <c r="E70" s="1" t="s">
        <v>24</v>
      </c>
      <c r="F70" s="1" t="s">
        <v>20</v>
      </c>
      <c r="G70">
        <v>-1.2056001474459965</v>
      </c>
      <c r="H70" s="1">
        <v>1</v>
      </c>
    </row>
    <row r="71" spans="1:8" x14ac:dyDescent="0.25">
      <c r="A71" s="1">
        <v>19</v>
      </c>
      <c r="B71" s="1">
        <v>68</v>
      </c>
      <c r="C71" s="1">
        <v>0</v>
      </c>
      <c r="D71" s="1">
        <v>0</v>
      </c>
      <c r="E71" s="1" t="s">
        <v>24</v>
      </c>
      <c r="F71" s="1" t="s">
        <v>21</v>
      </c>
      <c r="G71">
        <v>4.1225565274556475</v>
      </c>
      <c r="H71" s="1">
        <v>1</v>
      </c>
    </row>
    <row r="72" spans="1:8" x14ac:dyDescent="0.25">
      <c r="A72" s="1">
        <v>19</v>
      </c>
      <c r="B72" s="1">
        <v>68</v>
      </c>
      <c r="C72" s="1">
        <v>0</v>
      </c>
      <c r="D72" s="1">
        <v>0</v>
      </c>
      <c r="E72" s="1" t="s">
        <v>24</v>
      </c>
      <c r="F72" s="1" t="s">
        <v>22</v>
      </c>
      <c r="G72">
        <v>-5.8517903089523315E-3</v>
      </c>
      <c r="H72" s="1">
        <v>1</v>
      </c>
    </row>
    <row r="73" spans="1:8" x14ac:dyDescent="0.25">
      <c r="A73" s="1">
        <v>19</v>
      </c>
      <c r="B73" s="1">
        <v>68</v>
      </c>
      <c r="C73" s="1">
        <v>0</v>
      </c>
      <c r="D73" s="1">
        <v>0</v>
      </c>
      <c r="E73" s="1" t="s">
        <v>24</v>
      </c>
      <c r="F73" s="1" t="s">
        <v>23</v>
      </c>
      <c r="G73">
        <v>0.34140772620836896</v>
      </c>
      <c r="H73" s="1">
        <v>1</v>
      </c>
    </row>
    <row r="74" spans="1:8" x14ac:dyDescent="0.25">
      <c r="A74" s="1">
        <v>20</v>
      </c>
      <c r="B74" s="1">
        <v>66</v>
      </c>
      <c r="C74" s="1">
        <v>1</v>
      </c>
      <c r="D74" s="1">
        <v>0</v>
      </c>
      <c r="E74" s="1" t="s">
        <v>24</v>
      </c>
      <c r="F74" s="1" t="s">
        <v>20</v>
      </c>
      <c r="G74">
        <v>-4.08640197912852</v>
      </c>
      <c r="H74" s="1">
        <v>1</v>
      </c>
    </row>
    <row r="75" spans="1:8" x14ac:dyDescent="0.25">
      <c r="A75" s="1">
        <v>20</v>
      </c>
      <c r="B75" s="1">
        <v>66</v>
      </c>
      <c r="C75" s="1">
        <v>1</v>
      </c>
      <c r="D75" s="1">
        <v>0</v>
      </c>
      <c r="E75" s="1" t="s">
        <v>24</v>
      </c>
      <c r="F75" s="1" t="s">
        <v>21</v>
      </c>
      <c r="G75">
        <v>-2.1716714911162853</v>
      </c>
      <c r="H75" s="1">
        <v>1</v>
      </c>
    </row>
    <row r="76" spans="1:8" x14ac:dyDescent="0.25">
      <c r="A76" s="1">
        <v>20</v>
      </c>
      <c r="B76" s="1">
        <v>66</v>
      </c>
      <c r="C76" s="1">
        <v>1</v>
      </c>
      <c r="D76" s="1">
        <v>0</v>
      </c>
      <c r="E76" s="1" t="s">
        <v>24</v>
      </c>
      <c r="F76" s="1" t="s">
        <v>22</v>
      </c>
      <c r="G76">
        <v>-3.1472865343093872</v>
      </c>
      <c r="H76" s="1">
        <v>1</v>
      </c>
    </row>
    <row r="77" spans="1:8" x14ac:dyDescent="0.25">
      <c r="A77" s="1">
        <v>20</v>
      </c>
      <c r="B77" s="1">
        <v>66</v>
      </c>
      <c r="C77" s="1">
        <v>1</v>
      </c>
      <c r="D77" s="1">
        <v>0</v>
      </c>
      <c r="E77" s="1" t="s">
        <v>24</v>
      </c>
      <c r="F77" s="1" t="s">
        <v>23</v>
      </c>
      <c r="G77">
        <v>-2.4560110916694007</v>
      </c>
      <c r="H77" s="1">
        <v>1</v>
      </c>
    </row>
    <row r="78" spans="1:8" x14ac:dyDescent="0.25">
      <c r="A78" s="1">
        <v>21</v>
      </c>
      <c r="B78" s="1">
        <v>64</v>
      </c>
      <c r="C78" s="1">
        <v>1</v>
      </c>
      <c r="D78" s="1">
        <v>0</v>
      </c>
      <c r="E78" s="1" t="s">
        <v>24</v>
      </c>
      <c r="F78" s="1" t="s">
        <v>20</v>
      </c>
      <c r="G78">
        <v>0.24067258089780807</v>
      </c>
      <c r="H78" s="1">
        <v>1</v>
      </c>
    </row>
    <row r="79" spans="1:8" x14ac:dyDescent="0.25">
      <c r="A79" s="1">
        <v>21</v>
      </c>
      <c r="B79" s="1">
        <v>64</v>
      </c>
      <c r="C79" s="1">
        <v>1</v>
      </c>
      <c r="D79" s="1">
        <v>0</v>
      </c>
      <c r="E79" s="1" t="s">
        <v>24</v>
      </c>
      <c r="F79" s="1" t="s">
        <v>21</v>
      </c>
      <c r="G79">
        <v>3.4764880736668906</v>
      </c>
      <c r="H79" s="1">
        <v>1</v>
      </c>
    </row>
    <row r="80" spans="1:8" x14ac:dyDescent="0.25">
      <c r="A80" s="1">
        <v>21</v>
      </c>
      <c r="B80" s="1">
        <v>64</v>
      </c>
      <c r="C80" s="1">
        <v>1</v>
      </c>
      <c r="D80" s="1">
        <v>0</v>
      </c>
      <c r="E80" s="1" t="s">
        <v>24</v>
      </c>
      <c r="F80" s="1" t="s">
        <v>22</v>
      </c>
      <c r="G80">
        <v>8.2424639860788975</v>
      </c>
      <c r="H80" s="1">
        <v>1</v>
      </c>
    </row>
    <row r="81" spans="1:8" x14ac:dyDescent="0.25">
      <c r="A81" s="1">
        <v>21</v>
      </c>
      <c r="B81" s="1">
        <v>64</v>
      </c>
      <c r="C81" s="1">
        <v>1</v>
      </c>
      <c r="D81" s="1">
        <v>0</v>
      </c>
      <c r="E81" s="1" t="s">
        <v>24</v>
      </c>
      <c r="F81" s="1" t="s">
        <v>23</v>
      </c>
      <c r="G81">
        <v>2.3706536293029785</v>
      </c>
      <c r="H81" s="1">
        <v>1</v>
      </c>
    </row>
    <row r="82" spans="1:8" x14ac:dyDescent="0.25">
      <c r="A82" s="1">
        <v>22</v>
      </c>
      <c r="B82" s="1">
        <v>77</v>
      </c>
      <c r="C82" s="1">
        <v>0</v>
      </c>
      <c r="D82" s="1">
        <v>0</v>
      </c>
      <c r="E82" s="1" t="s">
        <v>24</v>
      </c>
      <c r="F82" s="1" t="s">
        <v>20</v>
      </c>
      <c r="G82">
        <v>8.9959006309509277</v>
      </c>
      <c r="H82" s="1">
        <v>1</v>
      </c>
    </row>
    <row r="83" spans="1:8" x14ac:dyDescent="0.25">
      <c r="A83" s="1">
        <v>22</v>
      </c>
      <c r="B83" s="1">
        <v>77</v>
      </c>
      <c r="C83" s="1">
        <v>0</v>
      </c>
      <c r="D83" s="1">
        <v>0</v>
      </c>
      <c r="E83" s="1" t="s">
        <v>24</v>
      </c>
      <c r="F83" s="1" t="s">
        <v>21</v>
      </c>
      <c r="G83">
        <v>4.0493515729904175</v>
      </c>
      <c r="H83" s="1">
        <v>1</v>
      </c>
    </row>
    <row r="84" spans="1:8" x14ac:dyDescent="0.25">
      <c r="A84" s="1">
        <v>22</v>
      </c>
      <c r="B84" s="1">
        <v>77</v>
      </c>
      <c r="C84" s="1">
        <v>0</v>
      </c>
      <c r="D84" s="1">
        <v>0</v>
      </c>
      <c r="E84" s="1" t="s">
        <v>24</v>
      </c>
      <c r="F84" s="1" t="s">
        <v>22</v>
      </c>
      <c r="G84">
        <v>8.2936935424804687</v>
      </c>
      <c r="H84" s="1">
        <v>1</v>
      </c>
    </row>
    <row r="85" spans="1:8" x14ac:dyDescent="0.25">
      <c r="A85" s="1">
        <v>22</v>
      </c>
      <c r="B85" s="1">
        <v>77</v>
      </c>
      <c r="C85" s="1">
        <v>0</v>
      </c>
      <c r="D85" s="1">
        <v>0</v>
      </c>
      <c r="E85" s="1" t="s">
        <v>24</v>
      </c>
      <c r="F85" s="1" t="s">
        <v>23</v>
      </c>
      <c r="G85">
        <v>5.8578232129414873</v>
      </c>
      <c r="H85" s="1">
        <v>1</v>
      </c>
    </row>
    <row r="86" spans="1:8" x14ac:dyDescent="0.25">
      <c r="A86" s="1">
        <v>23</v>
      </c>
      <c r="B86" s="1">
        <v>67</v>
      </c>
      <c r="C86" s="1">
        <v>1</v>
      </c>
      <c r="D86" s="1">
        <v>0</v>
      </c>
      <c r="E86" s="1" t="s">
        <v>19</v>
      </c>
      <c r="F86" s="1" t="s">
        <v>20</v>
      </c>
      <c r="G86">
        <v>5.3181074435512228</v>
      </c>
      <c r="H86" s="1">
        <v>2</v>
      </c>
    </row>
    <row r="87" spans="1:8" x14ac:dyDescent="0.25">
      <c r="A87" s="1">
        <v>23</v>
      </c>
      <c r="B87" s="1">
        <v>67</v>
      </c>
      <c r="C87" s="1">
        <v>1</v>
      </c>
      <c r="D87" s="1">
        <v>0</v>
      </c>
      <c r="E87" s="1" t="s">
        <v>19</v>
      </c>
      <c r="F87" s="1" t="s">
        <v>21</v>
      </c>
      <c r="G87">
        <v>3.7624579071998596</v>
      </c>
      <c r="H87" s="1">
        <v>2</v>
      </c>
    </row>
    <row r="88" spans="1:8" x14ac:dyDescent="0.25">
      <c r="A88" s="1">
        <v>23</v>
      </c>
      <c r="B88" s="1">
        <v>67</v>
      </c>
      <c r="C88" s="1">
        <v>1</v>
      </c>
      <c r="D88" s="1">
        <v>0</v>
      </c>
      <c r="E88" s="1" t="s">
        <v>19</v>
      </c>
      <c r="F88" s="1" t="s">
        <v>22</v>
      </c>
      <c r="G88">
        <v>6.4372858919699993</v>
      </c>
      <c r="H88" s="1">
        <v>2</v>
      </c>
    </row>
    <row r="89" spans="1:8" x14ac:dyDescent="0.25">
      <c r="A89" s="1">
        <v>23</v>
      </c>
      <c r="B89" s="1">
        <v>67</v>
      </c>
      <c r="C89" s="1">
        <v>1</v>
      </c>
      <c r="D89" s="1">
        <v>0</v>
      </c>
      <c r="E89" s="1" t="s">
        <v>19</v>
      </c>
      <c r="F89" s="1" t="s">
        <v>23</v>
      </c>
      <c r="G89">
        <v>3.1081073681513467</v>
      </c>
      <c r="H89" s="1">
        <v>2</v>
      </c>
    </row>
    <row r="90" spans="1:8" x14ac:dyDescent="0.25">
      <c r="A90" s="1">
        <v>24</v>
      </c>
      <c r="B90" s="1">
        <v>63</v>
      </c>
      <c r="C90" s="1">
        <v>1</v>
      </c>
      <c r="D90" s="1">
        <v>0</v>
      </c>
      <c r="E90" s="1" t="s">
        <v>19</v>
      </c>
      <c r="F90" s="1" t="s">
        <v>20</v>
      </c>
      <c r="G90">
        <v>3.6978201866149902</v>
      </c>
      <c r="H90" s="1">
        <v>2</v>
      </c>
    </row>
    <row r="91" spans="1:8" x14ac:dyDescent="0.25">
      <c r="A91" s="1">
        <v>24</v>
      </c>
      <c r="B91" s="1">
        <v>63</v>
      </c>
      <c r="C91" s="1">
        <v>1</v>
      </c>
      <c r="D91" s="1">
        <v>0</v>
      </c>
      <c r="E91" s="1" t="s">
        <v>19</v>
      </c>
      <c r="F91" s="1" t="s">
        <v>21</v>
      </c>
      <c r="G91">
        <v>0.54463418573141098</v>
      </c>
      <c r="H91" s="1">
        <v>2</v>
      </c>
    </row>
    <row r="92" spans="1:8" x14ac:dyDescent="0.25">
      <c r="A92" s="1">
        <v>24</v>
      </c>
      <c r="B92" s="1">
        <v>63</v>
      </c>
      <c r="C92" s="1">
        <v>1</v>
      </c>
      <c r="D92" s="1">
        <v>0</v>
      </c>
      <c r="E92" s="1" t="s">
        <v>19</v>
      </c>
      <c r="F92" s="1" t="s">
        <v>22</v>
      </c>
      <c r="G92">
        <v>-0.95333193490902579</v>
      </c>
      <c r="H92" s="1">
        <v>2</v>
      </c>
    </row>
    <row r="93" spans="1:8" x14ac:dyDescent="0.25">
      <c r="A93" s="1">
        <v>24</v>
      </c>
      <c r="B93" s="1">
        <v>63</v>
      </c>
      <c r="C93" s="1">
        <v>1</v>
      </c>
      <c r="D93" s="1">
        <v>0</v>
      </c>
      <c r="E93" s="1" t="s">
        <v>19</v>
      </c>
      <c r="F93" s="1" t="s">
        <v>23</v>
      </c>
      <c r="G93">
        <v>-2.6636234819889069</v>
      </c>
      <c r="H93" s="1">
        <v>2</v>
      </c>
    </row>
    <row r="94" spans="1:8" x14ac:dyDescent="0.25">
      <c r="A94" s="1">
        <v>25</v>
      </c>
      <c r="B94" s="1">
        <v>65</v>
      </c>
      <c r="C94" s="1">
        <v>1</v>
      </c>
      <c r="D94" s="1">
        <v>0</v>
      </c>
      <c r="E94" s="1" t="s">
        <v>24</v>
      </c>
      <c r="F94" s="1" t="s">
        <v>20</v>
      </c>
      <c r="G94">
        <v>-1.6078496972719829</v>
      </c>
      <c r="H94" s="1">
        <v>1</v>
      </c>
    </row>
    <row r="95" spans="1:8" x14ac:dyDescent="0.25">
      <c r="A95" s="1">
        <v>25</v>
      </c>
      <c r="B95" s="1">
        <v>65</v>
      </c>
      <c r="C95" s="1">
        <v>1</v>
      </c>
      <c r="D95" s="1">
        <v>0</v>
      </c>
      <c r="E95" s="1" t="s">
        <v>24</v>
      </c>
      <c r="F95" s="1" t="s">
        <v>21</v>
      </c>
      <c r="G95">
        <v>1.1127965946992238</v>
      </c>
      <c r="H95" s="1">
        <v>1</v>
      </c>
    </row>
    <row r="96" spans="1:8" x14ac:dyDescent="0.25">
      <c r="A96" s="1">
        <v>25</v>
      </c>
      <c r="B96" s="1">
        <v>65</v>
      </c>
      <c r="C96" s="1">
        <v>1</v>
      </c>
      <c r="D96" s="1">
        <v>0</v>
      </c>
      <c r="E96" s="1" t="s">
        <v>24</v>
      </c>
      <c r="F96" s="1" t="s">
        <v>22</v>
      </c>
      <c r="G96">
        <v>1.0117515921592712</v>
      </c>
      <c r="H96" s="1">
        <v>1</v>
      </c>
    </row>
    <row r="97" spans="1:8" x14ac:dyDescent="0.25">
      <c r="A97" s="1">
        <v>25</v>
      </c>
      <c r="B97" s="1">
        <v>65</v>
      </c>
      <c r="C97" s="1">
        <v>1</v>
      </c>
      <c r="D97" s="1">
        <v>0</v>
      </c>
      <c r="E97" s="1" t="s">
        <v>24</v>
      </c>
      <c r="F97" s="1" t="s">
        <v>23</v>
      </c>
      <c r="G97">
        <v>-2.9793335138044008</v>
      </c>
      <c r="H97" s="1">
        <v>1</v>
      </c>
    </row>
    <row r="98" spans="1:8" x14ac:dyDescent="0.25">
      <c r="A98" s="1">
        <v>26</v>
      </c>
      <c r="B98" s="1">
        <v>71</v>
      </c>
      <c r="C98" s="1">
        <v>1</v>
      </c>
      <c r="D98" s="1">
        <v>0</v>
      </c>
      <c r="E98" s="1" t="s">
        <v>24</v>
      </c>
      <c r="F98" s="1" t="s">
        <v>20</v>
      </c>
      <c r="G98">
        <v>3.967746376991272</v>
      </c>
      <c r="H98" s="1">
        <v>1</v>
      </c>
    </row>
    <row r="99" spans="1:8" x14ac:dyDescent="0.25">
      <c r="A99" s="1">
        <v>26</v>
      </c>
      <c r="B99" s="1">
        <v>71</v>
      </c>
      <c r="C99" s="1">
        <v>1</v>
      </c>
      <c r="D99" s="1">
        <v>0</v>
      </c>
      <c r="E99" s="1" t="s">
        <v>24</v>
      </c>
      <c r="F99" s="1" t="s">
        <v>21</v>
      </c>
      <c r="G99">
        <v>5.1137152910232544</v>
      </c>
      <c r="H99" s="1">
        <v>1</v>
      </c>
    </row>
    <row r="100" spans="1:8" x14ac:dyDescent="0.25">
      <c r="A100" s="1">
        <v>26</v>
      </c>
      <c r="B100" s="1">
        <v>71</v>
      </c>
      <c r="C100" s="1">
        <v>1</v>
      </c>
      <c r="D100" s="1">
        <v>0</v>
      </c>
      <c r="E100" s="1" t="s">
        <v>24</v>
      </c>
      <c r="F100" s="1" t="s">
        <v>22</v>
      </c>
      <c r="G100">
        <v>1.1819858675201733</v>
      </c>
      <c r="H100" s="1">
        <v>1</v>
      </c>
    </row>
    <row r="101" spans="1:8" x14ac:dyDescent="0.25">
      <c r="A101" s="1">
        <v>26</v>
      </c>
      <c r="B101" s="1">
        <v>71</v>
      </c>
      <c r="C101" s="1">
        <v>1</v>
      </c>
      <c r="D101" s="1">
        <v>0</v>
      </c>
      <c r="E101" s="1" t="s">
        <v>24</v>
      </c>
      <c r="F101" s="1" t="s">
        <v>23</v>
      </c>
      <c r="G101">
        <v>0.58742962529261911</v>
      </c>
      <c r="H101" s="1">
        <v>1</v>
      </c>
    </row>
    <row r="102" spans="1:8" x14ac:dyDescent="0.25">
      <c r="A102" s="1">
        <v>27</v>
      </c>
      <c r="B102" s="1">
        <v>69</v>
      </c>
      <c r="C102" s="1">
        <v>0</v>
      </c>
      <c r="D102" s="1">
        <v>0</v>
      </c>
      <c r="E102" s="1" t="s">
        <v>24</v>
      </c>
      <c r="F102" s="1" t="s">
        <v>20</v>
      </c>
      <c r="G102">
        <v>-1.8481139938036601</v>
      </c>
      <c r="H102" s="1">
        <v>1</v>
      </c>
    </row>
    <row r="103" spans="1:8" x14ac:dyDescent="0.25">
      <c r="A103" s="1">
        <v>27</v>
      </c>
      <c r="B103" s="1">
        <v>69</v>
      </c>
      <c r="C103" s="1">
        <v>0</v>
      </c>
      <c r="D103" s="1">
        <v>0</v>
      </c>
      <c r="E103" s="1" t="s">
        <v>24</v>
      </c>
      <c r="F103" s="1" t="s">
        <v>21</v>
      </c>
      <c r="G103">
        <v>2.1209630072116852</v>
      </c>
      <c r="H103" s="1">
        <v>1</v>
      </c>
    </row>
    <row r="104" spans="1:8" x14ac:dyDescent="0.25">
      <c r="A104" s="1">
        <v>27</v>
      </c>
      <c r="B104" s="1">
        <v>69</v>
      </c>
      <c r="C104" s="1">
        <v>0</v>
      </c>
      <c r="D104" s="1">
        <v>0</v>
      </c>
      <c r="E104" s="1" t="s">
        <v>24</v>
      </c>
      <c r="F104" s="1" t="s">
        <v>22</v>
      </c>
      <c r="G104">
        <v>-5.2735296885172529</v>
      </c>
      <c r="H104" s="1">
        <v>1</v>
      </c>
    </row>
    <row r="105" spans="1:8" x14ac:dyDescent="0.25">
      <c r="A105" s="1">
        <v>27</v>
      </c>
      <c r="B105" s="1">
        <v>69</v>
      </c>
      <c r="C105" s="1">
        <v>0</v>
      </c>
      <c r="D105" s="1">
        <v>0</v>
      </c>
      <c r="E105" s="1" t="s">
        <v>24</v>
      </c>
      <c r="F105" s="1" t="s">
        <v>23</v>
      </c>
      <c r="G105">
        <v>-2.1826321383317313</v>
      </c>
      <c r="H105" s="1">
        <v>1</v>
      </c>
    </row>
  </sheetData>
  <sortState ref="A2:G105">
    <sortCondition ref="A2:A105"/>
  </sortState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"/>
  <sheetViews>
    <sheetView tabSelected="1" topLeftCell="B2" zoomScaleNormal="100" workbookViewId="0">
      <selection activeCell="I55" sqref="I55"/>
    </sheetView>
  </sheetViews>
  <sheetFormatPr defaultRowHeight="14" x14ac:dyDescent="0.25"/>
  <cols>
    <col min="1" max="1" width="9.81640625" customWidth="1"/>
    <col min="2" max="2" width="15.54296875" customWidth="1"/>
    <col min="3" max="4" width="13.54296875" bestFit="1" customWidth="1"/>
    <col min="6" max="6" width="11.36328125" customWidth="1"/>
    <col min="7" max="8" width="15.54296875" customWidth="1"/>
    <col min="9" max="9" width="17.7265625" bestFit="1" customWidth="1"/>
    <col min="10" max="10" width="15.54296875" customWidth="1"/>
    <col min="11" max="11" width="17.7265625" bestFit="1" customWidth="1"/>
    <col min="12" max="12" width="20" customWidth="1"/>
    <col min="13" max="13" width="22.26953125" bestFit="1" customWidth="1"/>
  </cols>
  <sheetData>
    <row r="1" spans="1:13" x14ac:dyDescent="0.25">
      <c r="A1" s="8" t="s">
        <v>26</v>
      </c>
      <c r="B1" s="8" t="s">
        <v>29</v>
      </c>
      <c r="C1" s="9"/>
      <c r="D1" s="9"/>
      <c r="G1" s="6"/>
      <c r="H1" s="5" t="s">
        <v>29</v>
      </c>
      <c r="I1" s="6"/>
      <c r="J1" s="6"/>
      <c r="K1" s="6"/>
      <c r="L1" s="6"/>
      <c r="M1" s="6"/>
    </row>
    <row r="2" spans="1:13" x14ac:dyDescent="0.25">
      <c r="A2" s="8" t="s">
        <v>27</v>
      </c>
      <c r="B2" s="9" t="s">
        <v>19</v>
      </c>
      <c r="C2" s="9" t="s">
        <v>24</v>
      </c>
      <c r="D2" s="9" t="s">
        <v>28</v>
      </c>
      <c r="G2" s="6"/>
      <c r="H2" s="6" t="s">
        <v>19</v>
      </c>
      <c r="I2" s="6"/>
      <c r="J2" s="6" t="s">
        <v>24</v>
      </c>
      <c r="K2" s="6"/>
      <c r="L2" s="6" t="s">
        <v>32</v>
      </c>
      <c r="M2" s="6" t="s">
        <v>31</v>
      </c>
    </row>
    <row r="3" spans="1:13" x14ac:dyDescent="0.25">
      <c r="A3" s="10" t="s">
        <v>22</v>
      </c>
      <c r="B3" s="9">
        <v>-1.8101738902646254</v>
      </c>
      <c r="C3" s="9">
        <v>0.91661618210566331</v>
      </c>
      <c r="D3" s="9">
        <v>-0.44677885407948081</v>
      </c>
      <c r="G3" s="5" t="s">
        <v>27</v>
      </c>
      <c r="H3" s="6" t="s">
        <v>26</v>
      </c>
      <c r="I3" s="6" t="s">
        <v>30</v>
      </c>
      <c r="J3" s="6" t="s">
        <v>26</v>
      </c>
      <c r="K3" s="6" t="s">
        <v>30</v>
      </c>
      <c r="L3" s="6"/>
      <c r="M3" s="6"/>
    </row>
    <row r="4" spans="1:13" x14ac:dyDescent="0.25">
      <c r="A4" s="10" t="s">
        <v>20</v>
      </c>
      <c r="B4" s="9">
        <v>0.89335879626182391</v>
      </c>
      <c r="C4" s="9">
        <v>1.3106784240271034</v>
      </c>
      <c r="D4" s="9">
        <v>1.1020186101444638</v>
      </c>
      <c r="G4" s="7" t="s">
        <v>22</v>
      </c>
      <c r="H4" s="6">
        <v>-1.8101738902646254</v>
      </c>
      <c r="I4" s="6">
        <v>4.7312415919888311</v>
      </c>
      <c r="J4" s="6">
        <v>0.91661618210566331</v>
      </c>
      <c r="K4" s="6">
        <v>4.9261712288641943</v>
      </c>
      <c r="L4" s="6">
        <v>-0.44677885407948081</v>
      </c>
      <c r="M4" s="6">
        <v>4.9321464551503507</v>
      </c>
    </row>
    <row r="5" spans="1:13" x14ac:dyDescent="0.25">
      <c r="A5" s="10" t="s">
        <v>21</v>
      </c>
      <c r="B5" s="9">
        <v>0.15708422442802633</v>
      </c>
      <c r="C5" s="9">
        <v>1.7535507381439974</v>
      </c>
      <c r="D5" s="9">
        <v>0.95531748128601179</v>
      </c>
      <c r="G5" s="7" t="s">
        <v>20</v>
      </c>
      <c r="H5" s="6">
        <v>0.89335879626182391</v>
      </c>
      <c r="I5" s="6">
        <v>3.9455463415450405</v>
      </c>
      <c r="J5" s="6">
        <v>1.3106784240271034</v>
      </c>
      <c r="K5" s="6">
        <v>3.4976953119130045</v>
      </c>
      <c r="L5" s="6">
        <v>1.1020186101444638</v>
      </c>
      <c r="M5" s="6">
        <v>3.6592158340565808</v>
      </c>
    </row>
    <row r="6" spans="1:13" x14ac:dyDescent="0.25">
      <c r="A6" s="10" t="s">
        <v>23</v>
      </c>
      <c r="B6" s="9">
        <v>0.29830024778269798</v>
      </c>
      <c r="C6" s="9">
        <v>0.1968036614145891</v>
      </c>
      <c r="D6" s="9">
        <v>0.24755195459864365</v>
      </c>
      <c r="G6" s="7" t="s">
        <v>21</v>
      </c>
      <c r="H6" s="6">
        <v>0.15708422442802633</v>
      </c>
      <c r="I6" s="6">
        <v>3.8454885502940002</v>
      </c>
      <c r="J6" s="6">
        <v>1.7535507381439974</v>
      </c>
      <c r="K6" s="6">
        <v>2.54928422162997</v>
      </c>
      <c r="L6" s="6">
        <v>0.95531748128601179</v>
      </c>
      <c r="M6" s="6">
        <v>3.2985219201232066</v>
      </c>
    </row>
    <row r="7" spans="1:13" x14ac:dyDescent="0.25">
      <c r="A7" s="10" t="s">
        <v>28</v>
      </c>
      <c r="B7" s="9">
        <v>-0.11535765544801921</v>
      </c>
      <c r="C7" s="9">
        <v>1.0444122514228384</v>
      </c>
      <c r="D7" s="9">
        <v>0.4645272979874096</v>
      </c>
      <c r="G7" s="7" t="s">
        <v>23</v>
      </c>
      <c r="H7" s="6">
        <v>0.29830024778269798</v>
      </c>
      <c r="I7" s="6">
        <v>3.3920007358587165</v>
      </c>
      <c r="J7" s="6">
        <v>0.1968036614145891</v>
      </c>
      <c r="K7" s="6">
        <v>3.559519912922513</v>
      </c>
      <c r="L7" s="6">
        <v>0.24755195459864365</v>
      </c>
      <c r="M7" s="6">
        <v>3.4069175050269953</v>
      </c>
    </row>
    <row r="8" spans="1:13" x14ac:dyDescent="0.25">
      <c r="G8" s="7" t="s">
        <v>28</v>
      </c>
      <c r="H8" s="6">
        <v>-0.11535765544801921</v>
      </c>
      <c r="I8" s="6">
        <v>4.0212753768073242</v>
      </c>
      <c r="J8" s="6">
        <v>1.0444122514228384</v>
      </c>
      <c r="K8" s="6">
        <v>3.6650226016965592</v>
      </c>
      <c r="L8" s="6">
        <v>0.4645272979874096</v>
      </c>
      <c r="M8" s="6">
        <v>3.8726412612382117</v>
      </c>
    </row>
    <row r="10" spans="1:13" x14ac:dyDescent="0.25">
      <c r="G10" s="3" t="s">
        <v>27</v>
      </c>
      <c r="H10" t="s">
        <v>26</v>
      </c>
    </row>
    <row r="11" spans="1:13" x14ac:dyDescent="0.25">
      <c r="G11" s="4" t="s">
        <v>22</v>
      </c>
      <c r="H11" s="2">
        <v>-0.44677885407948065</v>
      </c>
    </row>
    <row r="12" spans="1:13" x14ac:dyDescent="0.25">
      <c r="G12" s="4" t="s">
        <v>20</v>
      </c>
      <c r="H12" s="2">
        <v>1.1020186101444638</v>
      </c>
    </row>
    <row r="13" spans="1:13" x14ac:dyDescent="0.25">
      <c r="G13" s="4" t="s">
        <v>21</v>
      </c>
      <c r="H13" s="2">
        <v>0.95531748128601179</v>
      </c>
    </row>
    <row r="14" spans="1:13" x14ac:dyDescent="0.25">
      <c r="G14" s="4" t="s">
        <v>23</v>
      </c>
      <c r="H14" s="2">
        <v>0.2475519545986436</v>
      </c>
    </row>
    <row r="15" spans="1:13" x14ac:dyDescent="0.25">
      <c r="G15" s="4" t="s">
        <v>28</v>
      </c>
      <c r="H15" s="2">
        <v>0.4645272979874096</v>
      </c>
    </row>
    <row r="31" spans="6:7" x14ac:dyDescent="0.25">
      <c r="F31" s="3" t="s">
        <v>27</v>
      </c>
      <c r="G31" t="s">
        <v>26</v>
      </c>
    </row>
    <row r="32" spans="6:7" x14ac:dyDescent="0.25">
      <c r="F32" s="4" t="s">
        <v>19</v>
      </c>
      <c r="G32" s="2">
        <v>-0.11535765544801911</v>
      </c>
    </row>
    <row r="33" spans="6:7" x14ac:dyDescent="0.25">
      <c r="F33" s="4" t="s">
        <v>24</v>
      </c>
      <c r="G33" s="2">
        <v>1.0444122514228389</v>
      </c>
    </row>
    <row r="34" spans="6:7" x14ac:dyDescent="0.25">
      <c r="F34" s="4" t="s">
        <v>28</v>
      </c>
      <c r="G34" s="2">
        <v>0.46452729798740972</v>
      </c>
    </row>
    <row r="51" spans="1:2" x14ac:dyDescent="0.25">
      <c r="A51" s="3" t="s">
        <v>27</v>
      </c>
      <c r="B51" t="s">
        <v>26</v>
      </c>
    </row>
    <row r="52" spans="1:2" x14ac:dyDescent="0.25">
      <c r="A52" s="4">
        <v>0</v>
      </c>
      <c r="B52" s="2">
        <v>1.6593871059468772</v>
      </c>
    </row>
    <row r="53" spans="1:2" x14ac:dyDescent="0.25">
      <c r="A53" s="4">
        <v>1</v>
      </c>
      <c r="B53" s="2">
        <v>-0.16804554152054393</v>
      </c>
    </row>
    <row r="54" spans="1:2" x14ac:dyDescent="0.25">
      <c r="A54" s="4" t="s">
        <v>28</v>
      </c>
      <c r="B54" s="2">
        <v>0.46452729798740955</v>
      </c>
    </row>
  </sheetData>
  <phoneticPr fontId="1" type="noConversion"/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其他因素</vt:lpstr>
      <vt:lpstr>敏感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</dc:creator>
  <cp:lastModifiedBy>pl</cp:lastModifiedBy>
  <dcterms:created xsi:type="dcterms:W3CDTF">2022-03-10T14:23:32Z</dcterms:created>
  <dcterms:modified xsi:type="dcterms:W3CDTF">2022-03-10T21:09:25Z</dcterms:modified>
</cp:coreProperties>
</file>